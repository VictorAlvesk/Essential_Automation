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9e8e4bd41823d07/Essencial Energia Eficiente/PÓS-VENDA/Departamento PósVendas/Automação/Equatorial_App/"/>
    </mc:Choice>
  </mc:AlternateContent>
  <xr:revisionPtr revIDLastSave="17" documentId="11_3DF8CF591F3FC8EAF7A26F8A1B043A9769B41861" xr6:coauthVersionLast="47" xr6:coauthVersionMax="47" xr10:uidLastSave="{C16F9BB1-83CC-47E1-8489-67D71058B4C8}"/>
  <bookViews>
    <workbookView xWindow="-108" yWindow="-108" windowWidth="23256" windowHeight="12456" tabRatio="717" activeTab="1" xr2:uid="{00000000-000D-0000-FFFF-FFFF00000000}"/>
  </bookViews>
  <sheets>
    <sheet name="RESUMO " sheetId="1" r:id="rId1"/>
    <sheet name="UC GERADORA" sheetId="2" r:id="rId2"/>
    <sheet name="UC BENEF.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3" l="1"/>
  <c r="J17" i="3"/>
  <c r="H17" i="3"/>
  <c r="I17" i="3" s="1"/>
  <c r="F17" i="3"/>
  <c r="O16" i="3"/>
  <c r="M16" i="3"/>
  <c r="K16" i="3"/>
  <c r="I16" i="3"/>
  <c r="O15" i="3"/>
  <c r="M15" i="3"/>
  <c r="N15" i="3" s="1"/>
  <c r="K15" i="3"/>
  <c r="I15" i="3"/>
  <c r="O14" i="3"/>
  <c r="M14" i="3"/>
  <c r="K14" i="3"/>
  <c r="I14" i="3"/>
  <c r="O13" i="3"/>
  <c r="M13" i="3"/>
  <c r="N13" i="3" s="1"/>
  <c r="K13" i="3"/>
  <c r="I13" i="3"/>
  <c r="O12" i="3"/>
  <c r="M12" i="3"/>
  <c r="K12" i="3"/>
  <c r="I12" i="3"/>
  <c r="O11" i="3"/>
  <c r="M11" i="3"/>
  <c r="N11" i="3" s="1"/>
  <c r="K11" i="3"/>
  <c r="I11" i="3"/>
  <c r="O10" i="3"/>
  <c r="M10" i="3"/>
  <c r="K10" i="3"/>
  <c r="I10" i="3"/>
  <c r="O9" i="3"/>
  <c r="M9" i="3"/>
  <c r="N9" i="3" s="1"/>
  <c r="K9" i="3"/>
  <c r="I9" i="3"/>
  <c r="O8" i="3"/>
  <c r="M8" i="3"/>
  <c r="K8" i="3"/>
  <c r="I8" i="3"/>
  <c r="O7" i="3"/>
  <c r="M7" i="3"/>
  <c r="N7" i="3" s="1"/>
  <c r="K7" i="3"/>
  <c r="I7" i="3"/>
  <c r="O6" i="3"/>
  <c r="M6" i="3"/>
  <c r="K6" i="3"/>
  <c r="I6" i="3"/>
  <c r="O5" i="3"/>
  <c r="O17" i="3" s="1"/>
  <c r="M5" i="3"/>
  <c r="K5" i="3"/>
  <c r="K17" i="3" s="1"/>
  <c r="I5" i="3"/>
  <c r="J2" i="3"/>
  <c r="E18" i="2"/>
  <c r="F24" i="1" s="1"/>
  <c r="P17" i="2"/>
  <c r="N17" i="2"/>
  <c r="K17" i="2"/>
  <c r="J17" i="2"/>
  <c r="I17" i="2"/>
  <c r="E17" i="2"/>
  <c r="O16" i="2"/>
  <c r="N16" i="3" s="1"/>
  <c r="L16" i="2"/>
  <c r="F16" i="2"/>
  <c r="D16" i="2"/>
  <c r="O15" i="2"/>
  <c r="L15" i="2"/>
  <c r="F15" i="2"/>
  <c r="D15" i="2"/>
  <c r="O14" i="2"/>
  <c r="N14" i="3" s="1"/>
  <c r="L14" i="2"/>
  <c r="D14" i="2"/>
  <c r="F14" i="2" s="1"/>
  <c r="O13" i="2"/>
  <c r="L13" i="2"/>
  <c r="F13" i="2"/>
  <c r="D13" i="2"/>
  <c r="O12" i="2"/>
  <c r="N12" i="3" s="1"/>
  <c r="L12" i="2"/>
  <c r="D12" i="2"/>
  <c r="F12" i="2" s="1"/>
  <c r="O11" i="2"/>
  <c r="L11" i="2"/>
  <c r="F11" i="2"/>
  <c r="D11" i="2"/>
  <c r="O10" i="2"/>
  <c r="N10" i="3" s="1"/>
  <c r="L10" i="2"/>
  <c r="D10" i="2"/>
  <c r="F10" i="2" s="1"/>
  <c r="O9" i="2"/>
  <c r="L9" i="2"/>
  <c r="F9" i="2"/>
  <c r="D9" i="2"/>
  <c r="O8" i="2"/>
  <c r="N8" i="3" s="1"/>
  <c r="L8" i="2"/>
  <c r="D8" i="2"/>
  <c r="F8" i="2" s="1"/>
  <c r="O7" i="2"/>
  <c r="L7" i="2"/>
  <c r="F7" i="2"/>
  <c r="D7" i="2"/>
  <c r="O6" i="2"/>
  <c r="N6" i="3" s="1"/>
  <c r="L6" i="2"/>
  <c r="D6" i="2"/>
  <c r="F6" i="2" s="1"/>
  <c r="O5" i="2"/>
  <c r="O17" i="2" s="1"/>
  <c r="L5" i="2"/>
  <c r="L19" i="2" s="1"/>
  <c r="I7" i="1" s="1"/>
  <c r="H5" i="2" s="1"/>
  <c r="D5" i="2"/>
  <c r="F5" i="2" s="1"/>
  <c r="K2" i="2"/>
  <c r="K20" i="1"/>
  <c r="B12" i="1"/>
  <c r="B13" i="1" s="1"/>
  <c r="I8" i="1"/>
  <c r="I20" i="1" s="1"/>
  <c r="B7" i="1"/>
  <c r="N5" i="3" l="1"/>
  <c r="N17" i="3" s="1"/>
  <c r="M15" i="2"/>
  <c r="M7" i="2"/>
  <c r="M16" i="2"/>
  <c r="L17" i="2"/>
  <c r="M17" i="2" s="1"/>
  <c r="M9" i="2"/>
  <c r="M11" i="2"/>
  <c r="H17" i="2"/>
  <c r="M14" i="2"/>
  <c r="M12" i="2"/>
  <c r="M10" i="2"/>
  <c r="M8" i="2"/>
  <c r="M6" i="2"/>
  <c r="J7" i="1"/>
  <c r="M13" i="2"/>
  <c r="D17" i="2"/>
  <c r="F17" i="2" s="1"/>
  <c r="M5" i="2"/>
  <c r="E5" i="3"/>
  <c r="M17" i="3"/>
  <c r="P5" i="3" l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G15" i="3"/>
  <c r="G11" i="3"/>
  <c r="G7" i="3"/>
  <c r="G16" i="3"/>
  <c r="G12" i="3"/>
  <c r="G8" i="3"/>
  <c r="E17" i="3"/>
  <c r="G13" i="3"/>
  <c r="G9" i="3"/>
  <c r="G5" i="3"/>
  <c r="G14" i="3"/>
  <c r="G10" i="3"/>
  <c r="G6" i="3"/>
  <c r="G17" i="3"/>
  <c r="L17" i="1"/>
  <c r="M17" i="1" s="1"/>
  <c r="J16" i="1"/>
  <c r="L13" i="1"/>
  <c r="M13" i="1" s="1"/>
  <c r="L12" i="1"/>
  <c r="M12" i="1" s="1"/>
  <c r="L11" i="1"/>
  <c r="M11" i="1" s="1"/>
  <c r="J10" i="1"/>
  <c r="J19" i="1"/>
  <c r="L16" i="1"/>
  <c r="M16" i="1" s="1"/>
  <c r="J15" i="1"/>
  <c r="L10" i="1"/>
  <c r="M10" i="1" s="1"/>
  <c r="J9" i="1"/>
  <c r="L18" i="1"/>
  <c r="M18" i="1" s="1"/>
  <c r="J17" i="1"/>
  <c r="L14" i="1"/>
  <c r="M14" i="1" s="1"/>
  <c r="J13" i="1"/>
  <c r="J12" i="1"/>
  <c r="J11" i="1"/>
  <c r="L8" i="1"/>
  <c r="L19" i="1"/>
  <c r="M19" i="1" s="1"/>
  <c r="J18" i="1"/>
  <c r="L15" i="1"/>
  <c r="M15" i="1" s="1"/>
  <c r="J14" i="1"/>
  <c r="L9" i="1"/>
  <c r="M9" i="1" s="1"/>
  <c r="J8" i="1"/>
  <c r="J20" i="1" l="1"/>
  <c r="M8" i="1"/>
  <c r="L20" i="1"/>
  <c r="M20" i="1" s="1"/>
</calcChain>
</file>

<file path=xl/sharedStrings.xml><?xml version="1.0" encoding="utf-8"?>
<sst xmlns="http://schemas.openxmlformats.org/spreadsheetml/2006/main" count="127" uniqueCount="87">
  <si>
    <t>USINA SOLAR FOTOVOLTAICA</t>
  </si>
  <si>
    <t xml:space="preserve">CLIENTE </t>
  </si>
  <si>
    <t xml:space="preserve">RATEIO CADASTRADO </t>
  </si>
  <si>
    <t xml:space="preserve">Dados de Potência </t>
  </si>
  <si>
    <t>Unidades</t>
  </si>
  <si>
    <t>Unidade Consumidora</t>
  </si>
  <si>
    <t xml:space="preserve">Local </t>
  </si>
  <si>
    <t>Consumo Médio (kWh)</t>
  </si>
  <si>
    <t>Rateio pela média</t>
  </si>
  <si>
    <t>Rateio Cadastrado</t>
  </si>
  <si>
    <t>Média Energia Recebida</t>
  </si>
  <si>
    <t xml:space="preserve">Atendimento </t>
  </si>
  <si>
    <t>Potência kWp</t>
  </si>
  <si>
    <t>Geradora</t>
  </si>
  <si>
    <t>Número de Placas</t>
  </si>
  <si>
    <t>Inversores</t>
  </si>
  <si>
    <t>Dados de Geração (Report)</t>
  </si>
  <si>
    <t>Anual (E Grid)</t>
  </si>
  <si>
    <t xml:space="preserve">kWh </t>
  </si>
  <si>
    <t>Média Mensal</t>
  </si>
  <si>
    <t>Jan</t>
  </si>
  <si>
    <t>Fev</t>
  </si>
  <si>
    <t>Mar</t>
  </si>
  <si>
    <t>Abr</t>
  </si>
  <si>
    <t>Mai</t>
  </si>
  <si>
    <t>Jun</t>
  </si>
  <si>
    <t>Jul</t>
  </si>
  <si>
    <t>Total</t>
  </si>
  <si>
    <t>Ago</t>
  </si>
  <si>
    <t>Set</t>
  </si>
  <si>
    <t>Out</t>
  </si>
  <si>
    <t>kWh</t>
  </si>
  <si>
    <t>Nov</t>
  </si>
  <si>
    <t>Geração M.</t>
  </si>
  <si>
    <t>(Geradora/as)</t>
  </si>
  <si>
    <t>Dez</t>
  </si>
  <si>
    <t>Consumo M. Real</t>
  </si>
  <si>
    <t>(Geradora/as + Beneficiarias)</t>
  </si>
  <si>
    <t>S</t>
  </si>
  <si>
    <t>Necessidade (Ampliação)</t>
  </si>
  <si>
    <t>UNIDADE GERADORA -</t>
  </si>
  <si>
    <t>Mês de Ref.</t>
  </si>
  <si>
    <t>Período de leitura</t>
  </si>
  <si>
    <t xml:space="preserve">Geração </t>
  </si>
  <si>
    <t>Créditos</t>
  </si>
  <si>
    <t>Leitura Anterior</t>
  </si>
  <si>
    <t>Leitura Atual</t>
  </si>
  <si>
    <t>Estimativa</t>
  </si>
  <si>
    <t>Real (Solar View)</t>
  </si>
  <si>
    <t>%</t>
  </si>
  <si>
    <t>Consumo médio</t>
  </si>
  <si>
    <t>Energia GERAÇÃO</t>
  </si>
  <si>
    <t>ENREGIA COMPENSADA</t>
  </si>
  <si>
    <t>ENERGIA ATIVA</t>
  </si>
  <si>
    <t xml:space="preserve">Consumo Real </t>
  </si>
  <si>
    <t>VALOR FATURA</t>
  </si>
  <si>
    <t>Mensal (Crédito)</t>
  </si>
  <si>
    <t>Conferência (Crédito da Fatura) (Olho em saldo na fatura GERADORA, o valor tem que bater com o "Mensal (coluna do lado)" se não tem alguma coisa errada na Equatorial ou na planilha, caso seja na Equatorial, tenho que ligar lá)</t>
  </si>
  <si>
    <t>.</t>
  </si>
  <si>
    <t>LEITURA DO MEDIDOR</t>
  </si>
  <si>
    <t>∑</t>
  </si>
  <si>
    <t xml:space="preserve">TOTAL </t>
  </si>
  <si>
    <t>Média =</t>
  </si>
  <si>
    <t>LEGENDA</t>
  </si>
  <si>
    <t>Obs:. Para Calcular a média de consumo real utilize a forumula -&gt;</t>
  </si>
  <si>
    <t>AMARELO</t>
  </si>
  <si>
    <t>PREENCHER</t>
  </si>
  <si>
    <t>CINZA</t>
  </si>
  <si>
    <t>AUTOMÁTICO</t>
  </si>
  <si>
    <t>LARANJA</t>
  </si>
  <si>
    <t>COBRAR</t>
  </si>
  <si>
    <t>UNIDADE CONSUMIDORA -</t>
  </si>
  <si>
    <t>COMPENSAÇÃO DE ENERGIA</t>
  </si>
  <si>
    <t>Consumo médio (O consumo médio que foi feito no dia do rateio)</t>
  </si>
  <si>
    <t>E. Fornecida (CONSUMO) (Consumo do cliente, se for grupo "A" soma o FP, HR e P em Energia Ativa Fornecida, em descrição do faturamento)</t>
  </si>
  <si>
    <t xml:space="preserve">% </t>
  </si>
  <si>
    <t>E. Injetada (COMPENSADA) (Energia injetada do cliente, se for grupo "A" soma o FP, HR e P em Energia Injetada, em descrição do faturamento)</t>
  </si>
  <si>
    <t xml:space="preserve">BALANÇO </t>
  </si>
  <si>
    <t>% Rateio</t>
  </si>
  <si>
    <t>Crédito a ser recebido</t>
  </si>
  <si>
    <t>Compensado</t>
  </si>
  <si>
    <t>Acumulado</t>
  </si>
  <si>
    <t>Conferência</t>
  </si>
  <si>
    <t>NÚMERO DO MEDIDOR</t>
  </si>
  <si>
    <t>LEITURA ANTERIOR</t>
  </si>
  <si>
    <t>LEITURA ATUAL</t>
  </si>
  <si>
    <t>COBRAR - AUTOMÁTICO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</si>
</sst>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4" fillId="0" borderId="0"/>
    <xf numFmtId="9" fontId="4" fillId="0" borderId="0"/>
  </cellStyleXfs>
  <cellXfs count="137">
    <xf numFmtId="0" fontId="0" fillId="0" borderId="0" xfId="0"/>
    <xf numFmtId="0" fontId="3" fillId="0" borderId="0" xfId="0" applyFont="1"/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9" fontId="0" fillId="0" borderId="1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9" fontId="2" fillId="4" borderId="14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0" xfId="0" applyFont="1"/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2" fillId="3" borderId="1" xfId="0" applyFont="1" applyFill="1" applyBorder="1"/>
    <xf numFmtId="0" fontId="2" fillId="6" borderId="1" xfId="0" applyFont="1" applyFill="1" applyBorder="1"/>
    <xf numFmtId="2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" fontId="0" fillId="6" borderId="1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2" fontId="0" fillId="9" borderId="1" xfId="0" applyNumberForma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0" fontId="0" fillId="9" borderId="1" xfId="0" applyNumberFormat="1" applyFill="1" applyBorder="1" applyAlignment="1">
      <alignment horizontal="center" vertical="center"/>
    </xf>
    <xf numFmtId="4" fontId="0" fillId="9" borderId="1" xfId="0" applyNumberForma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9" fontId="0" fillId="6" borderId="1" xfId="2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9" fontId="0" fillId="4" borderId="10" xfId="2" applyFont="1" applyFill="1" applyBorder="1" applyAlignment="1">
      <alignment horizontal="center" vertical="center"/>
    </xf>
    <xf numFmtId="9" fontId="2" fillId="4" borderId="12" xfId="2" applyFont="1" applyFill="1" applyBorder="1" applyAlignment="1">
      <alignment horizontal="center" vertical="center"/>
    </xf>
    <xf numFmtId="9" fontId="0" fillId="5" borderId="1" xfId="2" applyFont="1" applyFill="1" applyBorder="1" applyAlignment="1">
      <alignment horizontal="center" vertical="center"/>
    </xf>
    <xf numFmtId="2" fontId="0" fillId="9" borderId="1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9" borderId="1" xfId="0" applyNumberForma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4" fontId="2" fillId="7" borderId="1" xfId="0" applyNumberFormat="1" applyFont="1" applyFill="1" applyBorder="1" applyAlignment="1">
      <alignment horizontal="center" vertical="center"/>
    </xf>
    <xf numFmtId="4" fontId="0" fillId="3" borderId="14" xfId="0" applyNumberFormat="1" applyFill="1" applyBorder="1" applyAlignment="1">
      <alignment horizontal="center" vertical="center"/>
    </xf>
    <xf numFmtId="4" fontId="0" fillId="0" borderId="0" xfId="0" applyNumberFormat="1"/>
    <xf numFmtId="4" fontId="0" fillId="3" borderId="1" xfId="0" applyNumberForma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4" fontId="2" fillId="4" borderId="14" xfId="0" applyNumberFormat="1" applyFont="1" applyFill="1" applyBorder="1" applyAlignment="1">
      <alignment horizontal="center" vertical="center"/>
    </xf>
    <xf numFmtId="4" fontId="0" fillId="4" borderId="10" xfId="2" applyNumberFormat="1" applyFont="1" applyFill="1" applyBorder="1" applyAlignment="1">
      <alignment horizontal="center" vertical="center"/>
    </xf>
    <xf numFmtId="4" fontId="2" fillId="4" borderId="12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0" fillId="3" borderId="1" xfId="0" applyNumberFormat="1" applyFill="1" applyBorder="1"/>
    <xf numFmtId="4" fontId="0" fillId="5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wrapText="1"/>
    </xf>
    <xf numFmtId="4" fontId="0" fillId="3" borderId="1" xfId="2" applyNumberFormat="1" applyFont="1" applyFill="1" applyBorder="1" applyAlignment="1">
      <alignment horizontal="center" vertical="center"/>
    </xf>
    <xf numFmtId="9" fontId="0" fillId="3" borderId="1" xfId="2" applyFont="1" applyFill="1" applyBorder="1" applyAlignment="1">
      <alignment horizontal="center" vertical="center"/>
    </xf>
    <xf numFmtId="9" fontId="2" fillId="3" borderId="14" xfId="0" applyNumberFormat="1" applyFont="1" applyFill="1" applyBorder="1" applyAlignment="1">
      <alignment horizontal="center" vertical="center"/>
    </xf>
    <xf numFmtId="0" fontId="5" fillId="3" borderId="11" xfId="0" applyFont="1" applyFill="1" applyBorder="1"/>
    <xf numFmtId="0" fontId="0" fillId="14" borderId="1" xfId="0" applyFill="1" applyBorder="1"/>
    <xf numFmtId="0" fontId="2" fillId="2" borderId="7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2" fillId="6" borderId="10" xfId="0" applyFont="1" applyFill="1" applyBorder="1" applyAlignment="1">
      <alignment horizontal="center" vertical="center"/>
    </xf>
    <xf numFmtId="0" fontId="0" fillId="0" borderId="15" xfId="0" applyBorder="1"/>
    <xf numFmtId="0" fontId="5" fillId="5" borderId="31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4" borderId="10" xfId="0" applyFont="1" applyFill="1" applyBorder="1" applyAlignment="1">
      <alignment horizontal="center" vertical="center" wrapText="1"/>
    </xf>
    <xf numFmtId="0" fontId="0" fillId="0" borderId="23" xfId="0" applyBorder="1"/>
    <xf numFmtId="0" fontId="2" fillId="2" borderId="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0" fillId="0" borderId="16" xfId="0" applyBorder="1"/>
    <xf numFmtId="0" fontId="0" fillId="0" borderId="8" xfId="0" applyBorder="1"/>
    <xf numFmtId="0" fontId="0" fillId="0" borderId="24" xfId="0" applyBorder="1"/>
    <xf numFmtId="0" fontId="0" fillId="0" borderId="25" xfId="0" applyBorder="1"/>
    <xf numFmtId="0" fontId="0" fillId="0" borderId="28" xfId="0" applyBorder="1"/>
    <xf numFmtId="0" fontId="2" fillId="4" borderId="11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2" fillId="7" borderId="3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0" fillId="0" borderId="32" xfId="0" applyBorder="1"/>
    <xf numFmtId="0" fontId="2" fillId="7" borderId="12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3" borderId="14" xfId="0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left"/>
    </xf>
    <xf numFmtId="0" fontId="0" fillId="0" borderId="21" xfId="0" applyBorder="1"/>
    <xf numFmtId="2" fontId="0" fillId="5" borderId="1" xfId="1" applyNumberFormat="1" applyFont="1" applyFill="1" applyBorder="1" applyAlignment="1">
      <alignment horizontal="center" vertical="center"/>
    </xf>
    <xf numFmtId="0" fontId="0" fillId="0" borderId="22" xfId="0" applyBorder="1"/>
    <xf numFmtId="0" fontId="2" fillId="8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/>
    <xf numFmtId="0" fontId="2" fillId="2" borderId="33" xfId="0" applyFont="1" applyFill="1" applyBorder="1" applyAlignment="1">
      <alignment horizontal="center" vertical="center"/>
    </xf>
    <xf numFmtId="0" fontId="0" fillId="0" borderId="30" xfId="0" applyBorder="1"/>
    <xf numFmtId="0" fontId="2" fillId="2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2" fillId="1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10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0" fillId="0" borderId="34" xfId="0" applyBorder="1"/>
    <xf numFmtId="0" fontId="2" fillId="3" borderId="3" xfId="0" applyFont="1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9" borderId="1" xfId="0" applyFill="1" applyBorder="1" applyAlignment="1">
      <alignment horizontal="center"/>
    </xf>
    <xf numFmtId="0" fontId="0" fillId="0" borderId="0" xfId="0" applyAlignment="1">
      <alignment horizontal="left"/>
    </xf>
    <xf numFmtId="2" fontId="2" fillId="5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6"/>
  <sheetViews>
    <sheetView showGridLines="0" zoomScale="85" zoomScaleNormal="85" workbookViewId="0">
      <selection activeCell="L8" sqref="L8"/>
    </sheetView>
  </sheetViews>
  <sheetFormatPr defaultRowHeight="14.4" x14ac:dyDescent="0.3"/>
  <cols>
    <col min="1" max="1" width="19.6640625" bestFit="1" customWidth="1"/>
    <col min="2" max="2" width="9.5546875" customWidth="1"/>
    <col min="3" max="3" width="20.6640625" bestFit="1" customWidth="1"/>
    <col min="5" max="5" width="21.109375" customWidth="1"/>
    <col min="6" max="6" width="20" customWidth="1"/>
    <col min="7" max="7" width="12.109375" bestFit="1" customWidth="1"/>
    <col min="8" max="8" width="16.33203125" customWidth="1"/>
    <col min="9" max="9" width="16.109375" customWidth="1"/>
    <col min="10" max="10" width="16.109375" bestFit="1" customWidth="1"/>
    <col min="11" max="11" width="16.44140625" bestFit="1" customWidth="1"/>
    <col min="12" max="12" width="21.44140625" bestFit="1" customWidth="1"/>
    <col min="13" max="13" width="12.88671875" bestFit="1" customWidth="1"/>
  </cols>
  <sheetData>
    <row r="2" spans="1:13" ht="15" customHeight="1" thickBot="1" x14ac:dyDescent="0.35"/>
    <row r="3" spans="1:13" ht="16.2" customHeight="1" thickBot="1" x14ac:dyDescent="0.35">
      <c r="A3" s="87" t="s">
        <v>0</v>
      </c>
      <c r="B3" s="88"/>
      <c r="C3" s="89"/>
      <c r="D3" s="13"/>
    </row>
    <row r="4" spans="1:13" ht="16.2" customHeight="1" thickBot="1" x14ac:dyDescent="0.35">
      <c r="A4" s="78" t="s">
        <v>1</v>
      </c>
      <c r="B4" s="112"/>
      <c r="C4" s="103"/>
      <c r="D4" s="13"/>
      <c r="E4" s="95" t="s">
        <v>2</v>
      </c>
      <c r="F4" s="96"/>
      <c r="G4" s="96"/>
      <c r="H4" s="96"/>
      <c r="I4" s="96"/>
      <c r="J4" s="96"/>
      <c r="K4" s="96"/>
      <c r="L4" s="96"/>
      <c r="M4" s="97"/>
    </row>
    <row r="5" spans="1:13" ht="15" customHeight="1" thickBot="1" x14ac:dyDescent="0.35">
      <c r="E5" s="98"/>
      <c r="F5" s="99"/>
      <c r="G5" s="99"/>
      <c r="H5" s="99"/>
      <c r="I5" s="99"/>
      <c r="J5" s="99"/>
      <c r="K5" s="99"/>
      <c r="L5" s="99"/>
      <c r="M5" s="100"/>
    </row>
    <row r="6" spans="1:13" ht="28.5" customHeight="1" x14ac:dyDescent="0.3">
      <c r="A6" s="105" t="s">
        <v>3</v>
      </c>
      <c r="B6" s="88"/>
      <c r="C6" s="106"/>
      <c r="E6" s="6" t="s">
        <v>4</v>
      </c>
      <c r="F6" s="6" t="s">
        <v>5</v>
      </c>
      <c r="G6" s="94" t="s">
        <v>6</v>
      </c>
      <c r="H6" s="84"/>
      <c r="I6" s="7" t="s">
        <v>7</v>
      </c>
      <c r="J6" s="40" t="s">
        <v>8</v>
      </c>
      <c r="K6" s="110" t="s">
        <v>9</v>
      </c>
      <c r="L6" s="92" t="s">
        <v>10</v>
      </c>
      <c r="M6" s="92" t="s">
        <v>11</v>
      </c>
    </row>
    <row r="7" spans="1:13" x14ac:dyDescent="0.3">
      <c r="A7" s="14" t="s">
        <v>12</v>
      </c>
      <c r="B7" s="85">
        <f>B8*C8/1000</f>
        <v>0</v>
      </c>
      <c r="C7" s="86"/>
      <c r="E7" s="10" t="s">
        <v>13</v>
      </c>
      <c r="F7" s="11"/>
      <c r="G7" s="90"/>
      <c r="H7" s="84"/>
      <c r="I7" s="65" t="e">
        <f>'UC GERADORA'!L19</f>
        <v>#DIV/0!</v>
      </c>
      <c r="J7" s="41" t="e">
        <f>B13-I7</f>
        <v>#DIV/0!</v>
      </c>
      <c r="K7" s="111"/>
      <c r="L7" s="93"/>
      <c r="M7" s="93"/>
    </row>
    <row r="8" spans="1:13" x14ac:dyDescent="0.3">
      <c r="A8" s="14" t="s">
        <v>14</v>
      </c>
      <c r="B8" s="50"/>
      <c r="C8" s="51"/>
      <c r="E8" s="6">
        <v>1</v>
      </c>
      <c r="F8" s="8"/>
      <c r="G8" s="83"/>
      <c r="H8" s="84"/>
      <c r="I8" s="66" t="str">
        <f>'UC BENEF. 1'!F17</f>
        <v/>
      </c>
      <c r="J8" s="4" t="str">
        <f t="shared" ref="J8:J19" si="0">IFERROR(I8/$J$7,"")</f>
        <v/>
      </c>
      <c r="K8" s="75"/>
      <c r="L8" s="69" t="e">
        <f t="shared" ref="L8:L19" si="1">K8*$J$7</f>
        <v>#DIV/0!</v>
      </c>
      <c r="M8" s="42" t="str">
        <f t="shared" ref="M8:M20" si="2">IFERROR(L8/I8,"")</f>
        <v/>
      </c>
    </row>
    <row r="9" spans="1:13" ht="15" customHeight="1" thickBot="1" x14ac:dyDescent="0.35">
      <c r="A9" s="16" t="s">
        <v>15</v>
      </c>
      <c r="B9" s="52"/>
      <c r="C9" s="53"/>
      <c r="E9" s="6">
        <v>2</v>
      </c>
      <c r="F9" s="8"/>
      <c r="G9" s="83"/>
      <c r="H9" s="84"/>
      <c r="I9" s="66"/>
      <c r="J9" s="4" t="str">
        <f t="shared" si="0"/>
        <v/>
      </c>
      <c r="K9" s="76"/>
      <c r="L9" s="69" t="e">
        <f t="shared" si="1"/>
        <v>#DIV/0!</v>
      </c>
      <c r="M9" s="42" t="str">
        <f t="shared" si="2"/>
        <v/>
      </c>
    </row>
    <row r="10" spans="1:13" ht="15" customHeight="1" thickBot="1" x14ac:dyDescent="0.35">
      <c r="E10" s="6">
        <v>3</v>
      </c>
      <c r="F10" s="8"/>
      <c r="G10" s="83"/>
      <c r="H10" s="84"/>
      <c r="I10" s="66"/>
      <c r="J10" s="4" t="str">
        <f t="shared" si="0"/>
        <v/>
      </c>
      <c r="K10" s="76"/>
      <c r="L10" s="69" t="e">
        <f t="shared" si="1"/>
        <v>#DIV/0!</v>
      </c>
      <c r="M10" s="42" t="str">
        <f t="shared" si="2"/>
        <v/>
      </c>
    </row>
    <row r="11" spans="1:13" x14ac:dyDescent="0.3">
      <c r="A11" s="104" t="s">
        <v>16</v>
      </c>
      <c r="B11" s="88"/>
      <c r="C11" s="89"/>
      <c r="E11" s="6">
        <v>4</v>
      </c>
      <c r="F11" s="8"/>
      <c r="G11" s="83"/>
      <c r="H11" s="84"/>
      <c r="I11" s="66"/>
      <c r="J11" s="4" t="str">
        <f t="shared" si="0"/>
        <v/>
      </c>
      <c r="K11" s="76"/>
      <c r="L11" s="69" t="e">
        <f t="shared" si="1"/>
        <v>#DIV/0!</v>
      </c>
      <c r="M11" s="42" t="str">
        <f t="shared" si="2"/>
        <v/>
      </c>
    </row>
    <row r="12" spans="1:13" x14ac:dyDescent="0.3">
      <c r="A12" s="18" t="s">
        <v>17</v>
      </c>
      <c r="B12" s="62">
        <f>SUM(B14:B25)</f>
        <v>0</v>
      </c>
      <c r="C12" s="107" t="s">
        <v>18</v>
      </c>
      <c r="E12" s="6">
        <v>5</v>
      </c>
      <c r="F12" s="8"/>
      <c r="G12" s="83"/>
      <c r="H12" s="84"/>
      <c r="I12" s="66"/>
      <c r="J12" s="4" t="str">
        <f t="shared" si="0"/>
        <v/>
      </c>
      <c r="K12" s="76"/>
      <c r="L12" s="69" t="e">
        <f t="shared" si="1"/>
        <v>#DIV/0!</v>
      </c>
      <c r="M12" s="42" t="str">
        <f t="shared" si="2"/>
        <v/>
      </c>
    </row>
    <row r="13" spans="1:13" x14ac:dyDescent="0.3">
      <c r="A13" s="18" t="s">
        <v>19</v>
      </c>
      <c r="B13" s="62">
        <f>B12/12</f>
        <v>0</v>
      </c>
      <c r="C13" s="108"/>
      <c r="E13" s="6">
        <v>6</v>
      </c>
      <c r="F13" s="8"/>
      <c r="G13" s="83"/>
      <c r="H13" s="84"/>
      <c r="I13" s="66"/>
      <c r="J13" s="4" t="str">
        <f t="shared" si="0"/>
        <v/>
      </c>
      <c r="K13" s="76"/>
      <c r="L13" s="69" t="e">
        <f t="shared" si="1"/>
        <v>#DIV/0!</v>
      </c>
      <c r="M13" s="42" t="str">
        <f t="shared" si="2"/>
        <v/>
      </c>
    </row>
    <row r="14" spans="1:13" x14ac:dyDescent="0.3">
      <c r="A14" s="19" t="s">
        <v>20</v>
      </c>
      <c r="B14" s="28"/>
      <c r="C14" s="108"/>
      <c r="E14" s="6">
        <v>7</v>
      </c>
      <c r="F14" s="8"/>
      <c r="G14" s="83"/>
      <c r="H14" s="84"/>
      <c r="I14" s="66"/>
      <c r="J14" s="4" t="str">
        <f t="shared" si="0"/>
        <v/>
      </c>
      <c r="K14" s="76"/>
      <c r="L14" s="69" t="e">
        <f t="shared" si="1"/>
        <v>#DIV/0!</v>
      </c>
      <c r="M14" s="42" t="str">
        <f t="shared" si="2"/>
        <v/>
      </c>
    </row>
    <row r="15" spans="1:13" x14ac:dyDescent="0.3">
      <c r="A15" s="19" t="s">
        <v>21</v>
      </c>
      <c r="B15" s="28"/>
      <c r="C15" s="108"/>
      <c r="E15" s="6">
        <v>8</v>
      </c>
      <c r="F15" s="8"/>
      <c r="G15" s="83"/>
      <c r="H15" s="84"/>
      <c r="I15" s="66"/>
      <c r="J15" s="4" t="str">
        <f t="shared" si="0"/>
        <v/>
      </c>
      <c r="K15" s="76"/>
      <c r="L15" s="69" t="e">
        <f t="shared" si="1"/>
        <v>#DIV/0!</v>
      </c>
      <c r="M15" s="42" t="str">
        <f t="shared" si="2"/>
        <v/>
      </c>
    </row>
    <row r="16" spans="1:13" x14ac:dyDescent="0.3">
      <c r="A16" s="19" t="s">
        <v>22</v>
      </c>
      <c r="B16" s="28"/>
      <c r="C16" s="108"/>
      <c r="E16" s="6">
        <v>9</v>
      </c>
      <c r="F16" s="8"/>
      <c r="G16" s="83"/>
      <c r="H16" s="84"/>
      <c r="I16" s="66"/>
      <c r="J16" s="4" t="str">
        <f t="shared" si="0"/>
        <v/>
      </c>
      <c r="K16" s="76"/>
      <c r="L16" s="69" t="e">
        <f t="shared" si="1"/>
        <v>#DIV/0!</v>
      </c>
      <c r="M16" s="42" t="str">
        <f t="shared" si="2"/>
        <v/>
      </c>
    </row>
    <row r="17" spans="1:13" x14ac:dyDescent="0.3">
      <c r="A17" s="19" t="s">
        <v>23</v>
      </c>
      <c r="B17" s="28"/>
      <c r="C17" s="108"/>
      <c r="E17" s="6">
        <v>10</v>
      </c>
      <c r="F17" s="8"/>
      <c r="G17" s="83"/>
      <c r="H17" s="84"/>
      <c r="I17" s="66"/>
      <c r="J17" s="4" t="str">
        <f t="shared" si="0"/>
        <v/>
      </c>
      <c r="K17" s="76"/>
      <c r="L17" s="69" t="e">
        <f t="shared" si="1"/>
        <v>#DIV/0!</v>
      </c>
      <c r="M17" s="42" t="str">
        <f t="shared" si="2"/>
        <v/>
      </c>
    </row>
    <row r="18" spans="1:13" x14ac:dyDescent="0.3">
      <c r="A18" s="19" t="s">
        <v>24</v>
      </c>
      <c r="B18" s="28"/>
      <c r="C18" s="108"/>
      <c r="E18" s="6">
        <v>11</v>
      </c>
      <c r="F18" s="8"/>
      <c r="G18" s="91"/>
      <c r="H18" s="84"/>
      <c r="I18" s="66"/>
      <c r="J18" s="4" t="str">
        <f t="shared" si="0"/>
        <v/>
      </c>
      <c r="K18" s="76"/>
      <c r="L18" s="69" t="e">
        <f t="shared" si="1"/>
        <v>#DIV/0!</v>
      </c>
      <c r="M18" s="42" t="str">
        <f t="shared" si="2"/>
        <v/>
      </c>
    </row>
    <row r="19" spans="1:13" x14ac:dyDescent="0.3">
      <c r="A19" s="19" t="s">
        <v>25</v>
      </c>
      <c r="B19" s="28"/>
      <c r="C19" s="108"/>
      <c r="E19" s="6">
        <v>12</v>
      </c>
      <c r="F19" s="8"/>
      <c r="G19" s="91"/>
      <c r="H19" s="84"/>
      <c r="I19" s="67"/>
      <c r="J19" s="4" t="str">
        <f t="shared" si="0"/>
        <v/>
      </c>
      <c r="K19" s="76"/>
      <c r="L19" s="69" t="e">
        <f t="shared" si="1"/>
        <v>#DIV/0!</v>
      </c>
      <c r="M19" s="42" t="str">
        <f t="shared" si="2"/>
        <v/>
      </c>
    </row>
    <row r="20" spans="1:13" ht="15" customHeight="1" thickBot="1" x14ac:dyDescent="0.35">
      <c r="A20" s="19" t="s">
        <v>26</v>
      </c>
      <c r="B20" s="28"/>
      <c r="C20" s="108"/>
      <c r="E20" s="101" t="s">
        <v>27</v>
      </c>
      <c r="F20" s="102"/>
      <c r="G20" s="102"/>
      <c r="H20" s="103"/>
      <c r="I20" s="68">
        <f>SUM(I8:I19)</f>
        <v>0</v>
      </c>
      <c r="J20" s="9">
        <f>SUM(J8:J19)</f>
        <v>0</v>
      </c>
      <c r="K20" s="77">
        <f>SUM(K8:K19)</f>
        <v>0</v>
      </c>
      <c r="L20" s="70" t="e">
        <f>SUM(L8:L19)</f>
        <v>#DIV/0!</v>
      </c>
      <c r="M20" s="43" t="str">
        <f t="shared" si="2"/>
        <v/>
      </c>
    </row>
    <row r="21" spans="1:13" x14ac:dyDescent="0.3">
      <c r="A21" s="19" t="s">
        <v>28</v>
      </c>
      <c r="B21" s="28"/>
      <c r="C21" s="108"/>
    </row>
    <row r="22" spans="1:13" x14ac:dyDescent="0.3">
      <c r="A22" s="19" t="s">
        <v>29</v>
      </c>
      <c r="B22" s="28"/>
      <c r="C22" s="108"/>
    </row>
    <row r="23" spans="1:13" x14ac:dyDescent="0.3">
      <c r="A23" s="19" t="s">
        <v>30</v>
      </c>
      <c r="B23" s="28"/>
      <c r="C23" s="108"/>
      <c r="E23" s="56"/>
      <c r="F23" s="59" t="s">
        <v>31</v>
      </c>
    </row>
    <row r="24" spans="1:13" x14ac:dyDescent="0.3">
      <c r="A24" s="19" t="s">
        <v>32</v>
      </c>
      <c r="B24" s="28"/>
      <c r="C24" s="108"/>
      <c r="E24" s="60" t="s">
        <v>33</v>
      </c>
      <c r="F24" s="57" t="e">
        <f>'UC GERADORA'!E18</f>
        <v>#DIV/0!</v>
      </c>
      <c r="G24" t="s">
        <v>34</v>
      </c>
    </row>
    <row r="25" spans="1:13" ht="15" customHeight="1" thickBot="1" x14ac:dyDescent="0.35">
      <c r="A25" s="20" t="s">
        <v>35</v>
      </c>
      <c r="B25" s="63"/>
      <c r="C25" s="109"/>
      <c r="E25" s="61" t="s">
        <v>36</v>
      </c>
      <c r="F25" s="57"/>
      <c r="G25" t="s">
        <v>37</v>
      </c>
      <c r="J25" t="s">
        <v>38</v>
      </c>
    </row>
    <row r="26" spans="1:13" x14ac:dyDescent="0.3">
      <c r="B26" s="64"/>
      <c r="E26" s="48" t="s">
        <v>39</v>
      </c>
      <c r="F26" s="58"/>
    </row>
  </sheetData>
  <mergeCells count="25">
    <mergeCell ref="E20:H20"/>
    <mergeCell ref="L6:L7"/>
    <mergeCell ref="G14:H14"/>
    <mergeCell ref="A11:C11"/>
    <mergeCell ref="G16:H16"/>
    <mergeCell ref="A6:C6"/>
    <mergeCell ref="C12:C25"/>
    <mergeCell ref="K6:K7"/>
    <mergeCell ref="G9:H9"/>
    <mergeCell ref="G17:H17"/>
    <mergeCell ref="G7:H7"/>
    <mergeCell ref="G10:H10"/>
    <mergeCell ref="G19:H19"/>
    <mergeCell ref="M6:M7"/>
    <mergeCell ref="G6:H6"/>
    <mergeCell ref="G13:H13"/>
    <mergeCell ref="G18:H18"/>
    <mergeCell ref="G15:H15"/>
    <mergeCell ref="G12:H12"/>
    <mergeCell ref="B7:C7"/>
    <mergeCell ref="G11:H11"/>
    <mergeCell ref="A3:C3"/>
    <mergeCell ref="G8:H8"/>
    <mergeCell ref="E4:M5"/>
    <mergeCell ref="B4:C4"/>
  </mergeCells>
  <pageMargins left="0.511811024" right="0.511811024" top="0.78740157499999996" bottom="0.78740157499999996" header="0.31496062000000002" footer="0.31496062000000002"/>
  <pageSetup paperSize="9"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4"/>
  <sheetViews>
    <sheetView showGridLines="0" tabSelected="1" zoomScale="85" zoomScaleNormal="85" workbookViewId="0">
      <selection activeCell="B5" sqref="B5:C16"/>
    </sheetView>
  </sheetViews>
  <sheetFormatPr defaultRowHeight="14.4" x14ac:dyDescent="0.3"/>
  <cols>
    <col min="1" max="1" width="11.5546875" style="5" bestFit="1" customWidth="1"/>
    <col min="2" max="2" width="13.5546875" bestFit="1" customWidth="1"/>
    <col min="3" max="3" width="11.88671875" bestFit="1" customWidth="1"/>
    <col min="4" max="4" width="12.5546875" bestFit="1" customWidth="1"/>
    <col min="5" max="5" width="16.33203125" bestFit="1" customWidth="1"/>
    <col min="7" max="7" width="2.6640625" customWidth="1"/>
    <col min="8" max="8" width="14.44140625" customWidth="1"/>
    <col min="9" max="9" width="11.33203125" customWidth="1"/>
    <col min="10" max="10" width="14.33203125" customWidth="1"/>
    <col min="11" max="11" width="11.6640625" customWidth="1"/>
    <col min="12" max="12" width="13.33203125" bestFit="1" customWidth="1"/>
    <col min="13" max="13" width="11.6640625" customWidth="1"/>
    <col min="14" max="14" width="14.5546875" bestFit="1" customWidth="1"/>
    <col min="15" max="15" width="16" bestFit="1" customWidth="1"/>
    <col min="16" max="16" width="11.5546875" customWidth="1"/>
    <col min="17" max="17" width="5" customWidth="1"/>
    <col min="18" max="18" width="15.109375" bestFit="1" customWidth="1"/>
    <col min="19" max="19" width="13.88671875" customWidth="1"/>
    <col min="20" max="20" width="15" customWidth="1"/>
  </cols>
  <sheetData>
    <row r="1" spans="1:20" x14ac:dyDescent="0.3">
      <c r="A1" s="125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2" spans="1:20" x14ac:dyDescent="0.3">
      <c r="A2" s="129" t="s">
        <v>40</v>
      </c>
      <c r="B2" s="114"/>
      <c r="C2" s="114"/>
      <c r="D2" s="114"/>
      <c r="E2" s="114"/>
      <c r="F2" s="114"/>
      <c r="G2" s="114"/>
      <c r="H2" s="114"/>
      <c r="I2" s="114"/>
      <c r="J2" s="114"/>
      <c r="K2" s="113">
        <f>'RESUMO '!F7</f>
        <v>0</v>
      </c>
      <c r="L2" s="114"/>
      <c r="M2" s="114"/>
      <c r="N2" s="114"/>
      <c r="O2" s="114"/>
      <c r="P2" s="84"/>
    </row>
    <row r="3" spans="1:20" x14ac:dyDescent="0.3">
      <c r="A3" s="122" t="s">
        <v>41</v>
      </c>
      <c r="B3" s="120" t="s">
        <v>42</v>
      </c>
      <c r="C3" s="121"/>
      <c r="D3" s="127" t="s">
        <v>43</v>
      </c>
      <c r="E3" s="99"/>
      <c r="F3" s="128"/>
      <c r="G3" s="118"/>
      <c r="H3" s="127" t="s">
        <v>44</v>
      </c>
      <c r="I3" s="99"/>
      <c r="J3" s="99"/>
      <c r="K3" s="99"/>
      <c r="L3" s="99"/>
      <c r="M3" s="99"/>
      <c r="N3" s="99"/>
      <c r="O3" s="99"/>
      <c r="P3" s="128"/>
    </row>
    <row r="4" spans="1:20" x14ac:dyDescent="0.3">
      <c r="A4" s="123"/>
      <c r="B4" s="80" t="s">
        <v>45</v>
      </c>
      <c r="C4" s="81" t="s">
        <v>46</v>
      </c>
      <c r="D4" s="33" t="s">
        <v>47</v>
      </c>
      <c r="E4" s="33" t="s">
        <v>48</v>
      </c>
      <c r="F4" s="33" t="s">
        <v>49</v>
      </c>
      <c r="G4" s="119"/>
      <c r="H4" s="38" t="s">
        <v>50</v>
      </c>
      <c r="I4" s="48" t="s">
        <v>51</v>
      </c>
      <c r="J4" s="48" t="s">
        <v>52</v>
      </c>
      <c r="K4" s="48" t="s">
        <v>53</v>
      </c>
      <c r="L4" s="38" t="s">
        <v>54</v>
      </c>
      <c r="M4" s="38" t="s">
        <v>49</v>
      </c>
      <c r="N4" s="12" t="s">
        <v>55</v>
      </c>
      <c r="O4" s="33" t="s">
        <v>56</v>
      </c>
      <c r="P4" s="48" t="s">
        <v>57</v>
      </c>
      <c r="Q4" t="s">
        <v>58</v>
      </c>
      <c r="R4" s="124" t="s">
        <v>59</v>
      </c>
      <c r="S4" s="114"/>
      <c r="T4" s="84"/>
    </row>
    <row r="5" spans="1:20" x14ac:dyDescent="0.3">
      <c r="A5" s="30" t="s">
        <v>20</v>
      </c>
      <c r="B5" s="74"/>
      <c r="C5" s="74"/>
      <c r="D5" s="35">
        <f>'RESUMO '!B14</f>
        <v>0</v>
      </c>
      <c r="E5" s="28"/>
      <c r="F5" s="34" t="str">
        <f t="shared" ref="F5:F17" si="0">IFERROR(E5/D5-1,"")</f>
        <v/>
      </c>
      <c r="G5" s="119"/>
      <c r="H5" s="115" t="e">
        <f>'RESUMO '!I7</f>
        <v>#DIV/0!</v>
      </c>
      <c r="I5" s="28"/>
      <c r="J5" s="28"/>
      <c r="K5" s="28"/>
      <c r="L5" s="73">
        <f t="shared" ref="L5:L16" si="1">(K5+(E5-I5))</f>
        <v>0</v>
      </c>
      <c r="M5" s="44" t="str">
        <f t="shared" ref="M5:M17" si="2">IFERROR(L5/$H$5,"")</f>
        <v/>
      </c>
      <c r="N5" s="29"/>
      <c r="O5" s="35">
        <f t="shared" ref="O5:O16" si="3">I5-J5</f>
        <v>0</v>
      </c>
      <c r="P5" s="28"/>
      <c r="R5" s="82"/>
      <c r="S5" s="82"/>
      <c r="T5" s="82"/>
    </row>
    <row r="6" spans="1:20" x14ac:dyDescent="0.3">
      <c r="A6" s="30" t="s">
        <v>21</v>
      </c>
      <c r="B6" s="55"/>
      <c r="C6" s="74"/>
      <c r="D6" s="35">
        <f>'RESUMO '!B15</f>
        <v>0</v>
      </c>
      <c r="E6" s="28"/>
      <c r="F6" s="34" t="str">
        <f t="shared" si="0"/>
        <v/>
      </c>
      <c r="G6" s="119"/>
      <c r="H6" s="116"/>
      <c r="I6" s="28"/>
      <c r="J6" s="28"/>
      <c r="K6" s="28"/>
      <c r="L6" s="73">
        <f t="shared" si="1"/>
        <v>0</v>
      </c>
      <c r="M6" s="44" t="str">
        <f t="shared" si="2"/>
        <v/>
      </c>
      <c r="N6" s="29"/>
      <c r="O6" s="35">
        <f t="shared" si="3"/>
        <v>0</v>
      </c>
      <c r="P6" s="28"/>
      <c r="R6" s="79"/>
      <c r="S6" s="79"/>
      <c r="T6" s="79"/>
    </row>
    <row r="7" spans="1:20" x14ac:dyDescent="0.3">
      <c r="A7" s="30" t="s">
        <v>22</v>
      </c>
      <c r="B7" s="55"/>
      <c r="C7" s="74"/>
      <c r="D7" s="35">
        <f>'RESUMO '!B16</f>
        <v>0</v>
      </c>
      <c r="E7" s="28"/>
      <c r="F7" s="34" t="str">
        <f t="shared" si="0"/>
        <v/>
      </c>
      <c r="G7" s="119"/>
      <c r="H7" s="116"/>
      <c r="I7" s="28"/>
      <c r="J7" s="28"/>
      <c r="K7" s="28"/>
      <c r="L7" s="73">
        <f t="shared" si="1"/>
        <v>0</v>
      </c>
      <c r="M7" s="44" t="str">
        <f t="shared" si="2"/>
        <v/>
      </c>
      <c r="N7" s="29"/>
      <c r="O7" s="35">
        <f t="shared" si="3"/>
        <v>0</v>
      </c>
      <c r="P7" s="28"/>
      <c r="R7" s="79"/>
      <c r="S7" s="79"/>
      <c r="T7" s="79"/>
    </row>
    <row r="8" spans="1:20" x14ac:dyDescent="0.3">
      <c r="A8" s="30" t="s">
        <v>23</v>
      </c>
      <c r="B8" s="55"/>
      <c r="C8" s="74"/>
      <c r="D8" s="35">
        <f>'RESUMO '!B17</f>
        <v>0</v>
      </c>
      <c r="E8" s="28"/>
      <c r="F8" s="34" t="str">
        <f t="shared" si="0"/>
        <v/>
      </c>
      <c r="G8" s="119"/>
      <c r="H8" s="116"/>
      <c r="I8" s="28"/>
      <c r="J8" s="28"/>
      <c r="K8" s="28"/>
      <c r="L8" s="73">
        <f t="shared" si="1"/>
        <v>0</v>
      </c>
      <c r="M8" s="44" t="str">
        <f t="shared" si="2"/>
        <v/>
      </c>
      <c r="N8" s="29"/>
      <c r="O8" s="35">
        <f t="shared" si="3"/>
        <v>0</v>
      </c>
      <c r="P8" s="28"/>
      <c r="R8" s="79"/>
      <c r="S8" s="79"/>
      <c r="T8" s="79"/>
    </row>
    <row r="9" spans="1:20" x14ac:dyDescent="0.3">
      <c r="A9" s="30" t="s">
        <v>24</v>
      </c>
      <c r="B9" s="55"/>
      <c r="C9" s="74"/>
      <c r="D9" s="35">
        <f>'RESUMO '!B18</f>
        <v>0</v>
      </c>
      <c r="E9" s="28"/>
      <c r="F9" s="34" t="str">
        <f t="shared" si="0"/>
        <v/>
      </c>
      <c r="G9" s="119"/>
      <c r="H9" s="116"/>
      <c r="I9" s="28"/>
      <c r="J9" s="28"/>
      <c r="K9" s="28"/>
      <c r="L9" s="73">
        <f t="shared" si="1"/>
        <v>0</v>
      </c>
      <c r="M9" s="44" t="str">
        <f t="shared" si="2"/>
        <v/>
      </c>
      <c r="N9" s="29"/>
      <c r="O9" s="35">
        <f t="shared" si="3"/>
        <v>0</v>
      </c>
      <c r="P9" s="28"/>
      <c r="R9" s="79"/>
      <c r="S9" s="79"/>
      <c r="T9" s="79"/>
    </row>
    <row r="10" spans="1:20" x14ac:dyDescent="0.3">
      <c r="A10" s="30" t="s">
        <v>25</v>
      </c>
      <c r="B10" s="55"/>
      <c r="C10" s="74"/>
      <c r="D10" s="35">
        <f>'RESUMO '!B19</f>
        <v>0</v>
      </c>
      <c r="E10" s="28"/>
      <c r="F10" s="34" t="str">
        <f t="shared" si="0"/>
        <v/>
      </c>
      <c r="G10" s="119"/>
      <c r="H10" s="116"/>
      <c r="I10" s="28"/>
      <c r="J10" s="28"/>
      <c r="K10" s="28"/>
      <c r="L10" s="73">
        <f t="shared" si="1"/>
        <v>0</v>
      </c>
      <c r="M10" s="44" t="str">
        <f t="shared" si="2"/>
        <v/>
      </c>
      <c r="N10" s="29"/>
      <c r="O10" s="35">
        <f t="shared" si="3"/>
        <v>0</v>
      </c>
      <c r="P10" s="28"/>
      <c r="R10" s="79"/>
      <c r="S10" s="79"/>
      <c r="T10" s="79"/>
    </row>
    <row r="11" spans="1:20" x14ac:dyDescent="0.3">
      <c r="A11" s="30" t="s">
        <v>26</v>
      </c>
      <c r="B11" s="55"/>
      <c r="C11" s="74"/>
      <c r="D11" s="35">
        <f>'RESUMO '!B20</f>
        <v>0</v>
      </c>
      <c r="E11" s="28"/>
      <c r="F11" s="34" t="str">
        <f t="shared" si="0"/>
        <v/>
      </c>
      <c r="G11" s="119"/>
      <c r="H11" s="116"/>
      <c r="I11" s="28"/>
      <c r="J11" s="28"/>
      <c r="K11" s="28"/>
      <c r="L11" s="73">
        <f t="shared" si="1"/>
        <v>0</v>
      </c>
      <c r="M11" s="44" t="str">
        <f t="shared" si="2"/>
        <v/>
      </c>
      <c r="N11" s="29"/>
      <c r="O11" s="35">
        <f t="shared" si="3"/>
        <v>0</v>
      </c>
      <c r="P11" s="28"/>
      <c r="R11" s="79"/>
      <c r="S11" s="79"/>
      <c r="T11" s="79"/>
    </row>
    <row r="12" spans="1:20" x14ac:dyDescent="0.3">
      <c r="A12" s="30" t="s">
        <v>28</v>
      </c>
      <c r="B12" s="55"/>
      <c r="C12" s="74"/>
      <c r="D12" s="35">
        <f>'RESUMO '!B21</f>
        <v>0</v>
      </c>
      <c r="E12" s="28"/>
      <c r="F12" s="34" t="str">
        <f t="shared" si="0"/>
        <v/>
      </c>
      <c r="G12" s="119"/>
      <c r="H12" s="116"/>
      <c r="I12" s="28"/>
      <c r="J12" s="28"/>
      <c r="K12" s="28"/>
      <c r="L12" s="73">
        <f t="shared" si="1"/>
        <v>0</v>
      </c>
      <c r="M12" s="44" t="str">
        <f t="shared" si="2"/>
        <v/>
      </c>
      <c r="N12" s="29"/>
      <c r="O12" s="35">
        <f t="shared" si="3"/>
        <v>0</v>
      </c>
      <c r="P12" s="28"/>
      <c r="R12" s="79"/>
      <c r="S12" s="79"/>
      <c r="T12" s="79"/>
    </row>
    <row r="13" spans="1:20" x14ac:dyDescent="0.3">
      <c r="A13" s="30" t="s">
        <v>29</v>
      </c>
      <c r="B13" s="55"/>
      <c r="C13" s="74"/>
      <c r="D13" s="35">
        <f>'RESUMO '!B22</f>
        <v>0</v>
      </c>
      <c r="E13" s="28"/>
      <c r="F13" s="34" t="str">
        <f t="shared" si="0"/>
        <v/>
      </c>
      <c r="G13" s="119"/>
      <c r="H13" s="116"/>
      <c r="I13" s="28"/>
      <c r="J13" s="28"/>
      <c r="K13" s="28"/>
      <c r="L13" s="73">
        <f t="shared" si="1"/>
        <v>0</v>
      </c>
      <c r="M13" s="44" t="str">
        <f t="shared" si="2"/>
        <v/>
      </c>
      <c r="N13" s="29"/>
      <c r="O13" s="35">
        <f t="shared" si="3"/>
        <v>0</v>
      </c>
      <c r="P13" s="28"/>
      <c r="R13" s="79"/>
      <c r="S13" s="79"/>
      <c r="T13" s="79"/>
    </row>
    <row r="14" spans="1:20" x14ac:dyDescent="0.3">
      <c r="A14" s="30" t="s">
        <v>30</v>
      </c>
      <c r="B14" s="55"/>
      <c r="C14" s="74"/>
      <c r="D14" s="35">
        <f>'RESUMO '!B23</f>
        <v>0</v>
      </c>
      <c r="E14" s="71"/>
      <c r="F14" s="34" t="str">
        <f t="shared" si="0"/>
        <v/>
      </c>
      <c r="G14" s="119"/>
      <c r="H14" s="116"/>
      <c r="I14" s="28"/>
      <c r="J14" s="28"/>
      <c r="K14" s="28"/>
      <c r="L14" s="73">
        <f t="shared" si="1"/>
        <v>0</v>
      </c>
      <c r="M14" s="44" t="str">
        <f t="shared" si="2"/>
        <v/>
      </c>
      <c r="N14" s="29"/>
      <c r="O14" s="35">
        <f t="shared" si="3"/>
        <v>0</v>
      </c>
      <c r="P14" s="28"/>
      <c r="R14" s="79"/>
      <c r="S14" s="79"/>
      <c r="T14" s="79"/>
    </row>
    <row r="15" spans="1:20" x14ac:dyDescent="0.3">
      <c r="A15" s="30" t="s">
        <v>32</v>
      </c>
      <c r="B15" s="55"/>
      <c r="C15" s="74"/>
      <c r="D15" s="35">
        <f>'RESUMO '!B24</f>
        <v>0</v>
      </c>
      <c r="E15" s="28"/>
      <c r="F15" s="34" t="str">
        <f t="shared" si="0"/>
        <v/>
      </c>
      <c r="G15" s="119"/>
      <c r="H15" s="116"/>
      <c r="I15" s="28"/>
      <c r="J15" s="28"/>
      <c r="K15" s="28"/>
      <c r="L15" s="73">
        <f t="shared" si="1"/>
        <v>0</v>
      </c>
      <c r="M15" s="44" t="str">
        <f t="shared" si="2"/>
        <v/>
      </c>
      <c r="N15" s="29"/>
      <c r="O15" s="35">
        <f t="shared" si="3"/>
        <v>0</v>
      </c>
      <c r="P15" s="28"/>
      <c r="R15" s="79"/>
      <c r="S15" s="79"/>
      <c r="T15" s="79"/>
    </row>
    <row r="16" spans="1:20" x14ac:dyDescent="0.3">
      <c r="A16" s="30" t="s">
        <v>35</v>
      </c>
      <c r="B16" s="55"/>
      <c r="C16" s="74"/>
      <c r="D16" s="35">
        <f>'RESUMO '!B25</f>
        <v>0</v>
      </c>
      <c r="E16" s="28"/>
      <c r="F16" s="34" t="str">
        <f t="shared" si="0"/>
        <v/>
      </c>
      <c r="G16" s="119"/>
      <c r="H16" s="111"/>
      <c r="I16" s="28"/>
      <c r="J16" s="28"/>
      <c r="K16" s="28"/>
      <c r="L16" s="73">
        <f t="shared" si="1"/>
        <v>0</v>
      </c>
      <c r="M16" s="44" t="str">
        <f t="shared" si="2"/>
        <v/>
      </c>
      <c r="N16" s="29"/>
      <c r="O16" s="35">
        <f t="shared" si="3"/>
        <v>0</v>
      </c>
      <c r="P16" s="28"/>
      <c r="R16" s="79"/>
      <c r="S16" s="79"/>
      <c r="T16" s="79"/>
    </row>
    <row r="17" spans="1:20" x14ac:dyDescent="0.3">
      <c r="A17" s="32" t="s">
        <v>60</v>
      </c>
      <c r="B17" s="131" t="s">
        <v>61</v>
      </c>
      <c r="C17" s="84"/>
      <c r="D17" s="35">
        <f>SUM(D5:D16)</f>
        <v>0</v>
      </c>
      <c r="E17" s="35">
        <f>SUM(E5:E16)</f>
        <v>0</v>
      </c>
      <c r="F17" s="34" t="str">
        <f t="shared" si="0"/>
        <v/>
      </c>
      <c r="G17" s="119"/>
      <c r="H17" s="45" t="e">
        <f>H5*12</f>
        <v>#DIV/0!</v>
      </c>
      <c r="I17" s="35" t="str">
        <f>IFERROR(AVERAGE(I5:I16),"")</f>
        <v/>
      </c>
      <c r="J17" s="35" t="str">
        <f>IFERROR(AVERAGE(J5:J16),"")</f>
        <v/>
      </c>
      <c r="K17" s="35" t="str">
        <f>IFERROR(AVERAGE(K5:K16),"")</f>
        <v/>
      </c>
      <c r="L17" s="35">
        <f>SUM(L5:L16)</f>
        <v>0</v>
      </c>
      <c r="M17" s="44" t="str">
        <f t="shared" si="2"/>
        <v/>
      </c>
      <c r="N17" s="31">
        <f>SUM(N5:N16)</f>
        <v>0</v>
      </c>
      <c r="O17" s="35">
        <f>SUM(O5:O16)</f>
        <v>0</v>
      </c>
      <c r="P17" s="35">
        <f>SUM(P5:P16)</f>
        <v>0</v>
      </c>
      <c r="R17" s="79"/>
      <c r="S17" s="79"/>
      <c r="T17" s="79"/>
    </row>
    <row r="18" spans="1:20" x14ac:dyDescent="0.3">
      <c r="D18" s="30" t="s">
        <v>62</v>
      </c>
      <c r="E18" s="72" t="e">
        <f>AVERAGE(E5:E16)</f>
        <v>#DIV/0!</v>
      </c>
    </row>
    <row r="19" spans="1:20" x14ac:dyDescent="0.3">
      <c r="A19" s="117" t="s">
        <v>63</v>
      </c>
      <c r="B19" s="114"/>
      <c r="C19" s="84"/>
      <c r="H19" s="132" t="s">
        <v>64</v>
      </c>
      <c r="I19" s="119"/>
      <c r="J19" s="119"/>
      <c r="K19" s="119"/>
      <c r="L19" t="e">
        <f>AVERAGEIF(L5:L16, "&lt;&gt;0")</f>
        <v>#DIV/0!</v>
      </c>
    </row>
    <row r="20" spans="1:20" x14ac:dyDescent="0.3">
      <c r="A20" s="2" t="s">
        <v>65</v>
      </c>
      <c r="B20" s="21" t="s">
        <v>66</v>
      </c>
      <c r="C20" s="21"/>
      <c r="I20" s="130"/>
      <c r="J20" s="119"/>
      <c r="K20" s="119"/>
    </row>
    <row r="21" spans="1:20" x14ac:dyDescent="0.3">
      <c r="A21" s="17" t="s">
        <v>67</v>
      </c>
      <c r="B21" s="22" t="s">
        <v>68</v>
      </c>
      <c r="C21" s="22"/>
    </row>
    <row r="22" spans="1:20" x14ac:dyDescent="0.3">
      <c r="A22" s="36" t="s">
        <v>69</v>
      </c>
      <c r="B22" s="126" t="s">
        <v>70</v>
      </c>
      <c r="C22" s="84"/>
    </row>
    <row r="40" spans="1:1" x14ac:dyDescent="0.3">
      <c r="A40" s="54"/>
    </row>
    <row r="94" spans="15:15" x14ac:dyDescent="0.3">
      <c r="O94" s="1"/>
    </row>
  </sheetData>
  <mergeCells count="15">
    <mergeCell ref="R4:T4"/>
    <mergeCell ref="A1:O1"/>
    <mergeCell ref="B22:C22"/>
    <mergeCell ref="D3:F3"/>
    <mergeCell ref="A2:J2"/>
    <mergeCell ref="I20:K20"/>
    <mergeCell ref="H3:P3"/>
    <mergeCell ref="B17:C17"/>
    <mergeCell ref="H19:K19"/>
    <mergeCell ref="K2:P2"/>
    <mergeCell ref="H5:H16"/>
    <mergeCell ref="A19:C19"/>
    <mergeCell ref="G3:G17"/>
    <mergeCell ref="B3:C3"/>
    <mergeCell ref="A3:A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7"/>
  <sheetViews>
    <sheetView showGridLines="0" zoomScale="70" zoomScaleNormal="70" workbookViewId="0">
      <selection activeCell="S3" sqref="S3:U4"/>
    </sheetView>
  </sheetViews>
  <sheetFormatPr defaultRowHeight="14.4" x14ac:dyDescent="0.3"/>
  <cols>
    <col min="1" max="1" width="11.5546875" bestFit="1" customWidth="1"/>
    <col min="2" max="2" width="17.77734375" customWidth="1"/>
    <col min="3" max="3" width="18" customWidth="1"/>
    <col min="4" max="4" width="2.6640625" customWidth="1"/>
    <col min="5" max="5" width="14.6640625" customWidth="1"/>
    <col min="6" max="6" width="22.109375" customWidth="1"/>
    <col min="7" max="7" width="9.88671875" customWidth="1"/>
    <col min="8" max="8" width="24.109375" customWidth="1"/>
    <col min="9" max="9" width="7.88671875" bestFit="1" customWidth="1"/>
    <col min="10" max="10" width="14.5546875" bestFit="1" customWidth="1"/>
    <col min="11" max="11" width="14.5546875" customWidth="1"/>
    <col min="12" max="12" width="2.6640625" customWidth="1"/>
    <col min="13" max="13" width="9.44140625" customWidth="1"/>
    <col min="14" max="14" width="20.6640625" bestFit="1" customWidth="1"/>
    <col min="15" max="15" width="12.5546875" bestFit="1" customWidth="1"/>
    <col min="16" max="16" width="11" bestFit="1" customWidth="1"/>
    <col min="17" max="17" width="11" customWidth="1"/>
    <col min="18" max="18" width="2" customWidth="1"/>
    <col min="19" max="19" width="23.33203125" customWidth="1"/>
    <col min="20" max="20" width="21.44140625" customWidth="1"/>
    <col min="21" max="21" width="19.6640625" customWidth="1"/>
  </cols>
  <sheetData>
    <row r="1" spans="1:21" x14ac:dyDescent="0.3">
      <c r="A1" s="125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3"/>
    </row>
    <row r="2" spans="1:21" x14ac:dyDescent="0.3">
      <c r="A2" s="129" t="s">
        <v>71</v>
      </c>
      <c r="B2" s="114"/>
      <c r="C2" s="114"/>
      <c r="D2" s="114"/>
      <c r="E2" s="114"/>
      <c r="F2" s="114"/>
      <c r="G2" s="114"/>
      <c r="H2" s="114"/>
      <c r="I2" s="114"/>
      <c r="J2" s="113">
        <f>'RESUMO '!F8</f>
        <v>0</v>
      </c>
      <c r="K2" s="114"/>
      <c r="L2" s="114"/>
      <c r="M2" s="114"/>
      <c r="N2" s="114"/>
      <c r="O2" s="114"/>
      <c r="P2" s="114"/>
      <c r="Q2" s="84"/>
    </row>
    <row r="3" spans="1:21" ht="14.4" customHeight="1" x14ac:dyDescent="0.3">
      <c r="A3" s="122" t="s">
        <v>41</v>
      </c>
      <c r="B3" s="120" t="s">
        <v>42</v>
      </c>
      <c r="C3" s="121"/>
      <c r="D3" s="135"/>
      <c r="E3" s="136" t="s">
        <v>72</v>
      </c>
      <c r="F3" s="114"/>
      <c r="G3" s="114"/>
      <c r="H3" s="114"/>
      <c r="I3" s="114"/>
      <c r="J3" s="114"/>
      <c r="K3" s="46"/>
      <c r="L3" s="134"/>
      <c r="M3" s="127" t="s">
        <v>44</v>
      </c>
      <c r="N3" s="99"/>
      <c r="O3" s="99"/>
      <c r="P3" s="99"/>
      <c r="Q3" s="128"/>
      <c r="S3" s="124" t="s">
        <v>59</v>
      </c>
      <c r="T3" s="114"/>
      <c r="U3" s="84"/>
    </row>
    <row r="4" spans="1:21" x14ac:dyDescent="0.3">
      <c r="A4" s="123"/>
      <c r="B4" s="80" t="s">
        <v>45</v>
      </c>
      <c r="C4" s="81" t="s">
        <v>46</v>
      </c>
      <c r="D4" s="119"/>
      <c r="E4" s="49" t="s">
        <v>73</v>
      </c>
      <c r="F4" s="48" t="s">
        <v>74</v>
      </c>
      <c r="G4" s="38" t="s">
        <v>75</v>
      </c>
      <c r="H4" s="48" t="s">
        <v>76</v>
      </c>
      <c r="I4" s="24" t="s">
        <v>49</v>
      </c>
      <c r="J4" s="12" t="s">
        <v>55</v>
      </c>
      <c r="K4" s="15" t="s">
        <v>77</v>
      </c>
      <c r="L4" s="119"/>
      <c r="M4" s="26" t="s">
        <v>78</v>
      </c>
      <c r="N4" s="26" t="s">
        <v>79</v>
      </c>
      <c r="O4" s="26" t="s">
        <v>80</v>
      </c>
      <c r="P4" s="26" t="s">
        <v>81</v>
      </c>
      <c r="Q4" s="12" t="s">
        <v>82</v>
      </c>
      <c r="R4" t="s">
        <v>58</v>
      </c>
      <c r="S4" s="82" t="s">
        <v>83</v>
      </c>
      <c r="T4" s="82" t="s">
        <v>84</v>
      </c>
      <c r="U4" s="82" t="s">
        <v>85</v>
      </c>
    </row>
    <row r="5" spans="1:21" ht="15" customHeight="1" x14ac:dyDescent="0.3">
      <c r="A5" s="30" t="s">
        <v>20</v>
      </c>
      <c r="B5" s="74"/>
      <c r="C5" s="74"/>
      <c r="D5" s="119"/>
      <c r="E5" s="133" t="str">
        <f>'RESUMO '!I8</f>
        <v/>
      </c>
      <c r="F5" s="27"/>
      <c r="G5" s="44" t="str">
        <f t="shared" ref="G5:G17" si="0">IFERROR(F5/$E$5,"")</f>
        <v/>
      </c>
      <c r="H5" s="27"/>
      <c r="I5" s="37" t="str">
        <f t="shared" ref="I5:I17" si="1">IFERROR(H5/F5,"")</f>
        <v/>
      </c>
      <c r="J5" s="29"/>
      <c r="K5" s="47">
        <f t="shared" ref="K5:K16" si="2">H5-F5</f>
        <v>0</v>
      </c>
      <c r="L5" s="119"/>
      <c r="M5" s="37">
        <f>'RESUMO '!$K$8</f>
        <v>0</v>
      </c>
      <c r="N5" s="24">
        <f>M5*'UC GERADORA'!O5</f>
        <v>0</v>
      </c>
      <c r="O5" s="25">
        <f t="shared" ref="O5:O16" si="3">H5</f>
        <v>0</v>
      </c>
      <c r="P5" s="25">
        <f>(N5-O5)</f>
        <v>0</v>
      </c>
      <c r="Q5" s="27"/>
      <c r="S5" s="79"/>
      <c r="T5" s="79"/>
      <c r="U5" s="79"/>
    </row>
    <row r="6" spans="1:21" x14ac:dyDescent="0.3">
      <c r="A6" s="30" t="s">
        <v>21</v>
      </c>
      <c r="B6" s="55"/>
      <c r="C6" s="74"/>
      <c r="D6" s="119"/>
      <c r="E6" s="116"/>
      <c r="F6" s="27"/>
      <c r="G6" s="44" t="str">
        <f t="shared" si="0"/>
        <v/>
      </c>
      <c r="H6" s="27"/>
      <c r="I6" s="37" t="str">
        <f t="shared" si="1"/>
        <v/>
      </c>
      <c r="J6" s="29"/>
      <c r="K6" s="47">
        <f t="shared" si="2"/>
        <v>0</v>
      </c>
      <c r="L6" s="119"/>
      <c r="M6" s="37">
        <f>'RESUMO '!$K$8</f>
        <v>0</v>
      </c>
      <c r="N6" s="24">
        <f>M6*'UC GERADORA'!O6</f>
        <v>0</v>
      </c>
      <c r="O6" s="25">
        <f t="shared" si="3"/>
        <v>0</v>
      </c>
      <c r="P6" s="25">
        <f t="shared" ref="P6:P16" si="4">IF(P5&lt;=0,(N6-O6),P5+(N6-O6))</f>
        <v>0</v>
      </c>
      <c r="Q6" s="28"/>
      <c r="S6" s="79"/>
      <c r="T6" s="79"/>
      <c r="U6" s="79"/>
    </row>
    <row r="7" spans="1:21" x14ac:dyDescent="0.3">
      <c r="A7" s="30" t="s">
        <v>22</v>
      </c>
      <c r="B7" s="55"/>
      <c r="C7" s="74"/>
      <c r="D7" s="119"/>
      <c r="E7" s="116"/>
      <c r="F7" s="27"/>
      <c r="G7" s="44" t="str">
        <f t="shared" si="0"/>
        <v/>
      </c>
      <c r="H7" s="27"/>
      <c r="I7" s="37" t="str">
        <f t="shared" si="1"/>
        <v/>
      </c>
      <c r="J7" s="29"/>
      <c r="K7" s="47">
        <f t="shared" si="2"/>
        <v>0</v>
      </c>
      <c r="L7" s="119"/>
      <c r="M7" s="37">
        <f>'RESUMO '!$K$8</f>
        <v>0</v>
      </c>
      <c r="N7" s="24">
        <f>M7*'UC GERADORA'!O7</f>
        <v>0</v>
      </c>
      <c r="O7" s="25">
        <f t="shared" si="3"/>
        <v>0</v>
      </c>
      <c r="P7" s="25">
        <f t="shared" si="4"/>
        <v>0</v>
      </c>
      <c r="Q7" s="28"/>
      <c r="S7" s="79"/>
      <c r="T7" s="79"/>
      <c r="U7" s="79"/>
    </row>
    <row r="8" spans="1:21" x14ac:dyDescent="0.3">
      <c r="A8" s="30" t="s">
        <v>23</v>
      </c>
      <c r="B8" s="55"/>
      <c r="C8" s="74"/>
      <c r="D8" s="119"/>
      <c r="E8" s="116"/>
      <c r="F8" s="27"/>
      <c r="G8" s="44" t="str">
        <f t="shared" si="0"/>
        <v/>
      </c>
      <c r="H8" s="27"/>
      <c r="I8" s="37" t="str">
        <f t="shared" si="1"/>
        <v/>
      </c>
      <c r="J8" s="29"/>
      <c r="K8" s="47">
        <f t="shared" si="2"/>
        <v>0</v>
      </c>
      <c r="L8" s="119"/>
      <c r="M8" s="37">
        <f>'RESUMO '!$K$8</f>
        <v>0</v>
      </c>
      <c r="N8" s="24">
        <f>M8*'UC GERADORA'!O8</f>
        <v>0</v>
      </c>
      <c r="O8" s="25">
        <f t="shared" si="3"/>
        <v>0</v>
      </c>
      <c r="P8" s="25">
        <f t="shared" si="4"/>
        <v>0</v>
      </c>
      <c r="Q8" s="28"/>
      <c r="S8" s="79"/>
      <c r="T8" s="79"/>
      <c r="U8" s="79"/>
    </row>
    <row r="9" spans="1:21" x14ac:dyDescent="0.3">
      <c r="A9" s="30" t="s">
        <v>24</v>
      </c>
      <c r="B9" s="55"/>
      <c r="C9" s="74"/>
      <c r="D9" s="119"/>
      <c r="E9" s="116"/>
      <c r="F9" s="27"/>
      <c r="G9" s="44" t="str">
        <f t="shared" si="0"/>
        <v/>
      </c>
      <c r="H9" s="27"/>
      <c r="I9" s="37" t="str">
        <f t="shared" si="1"/>
        <v/>
      </c>
      <c r="J9" s="29"/>
      <c r="K9" s="47">
        <f t="shared" si="2"/>
        <v>0</v>
      </c>
      <c r="L9" s="119"/>
      <c r="M9" s="37">
        <f>'RESUMO '!$K$8</f>
        <v>0</v>
      </c>
      <c r="N9" s="24">
        <f>M9*'UC GERADORA'!O9</f>
        <v>0</v>
      </c>
      <c r="O9" s="25">
        <f t="shared" si="3"/>
        <v>0</v>
      </c>
      <c r="P9" s="25">
        <f t="shared" si="4"/>
        <v>0</v>
      </c>
      <c r="Q9" s="28"/>
      <c r="S9" s="79"/>
      <c r="T9" s="79"/>
      <c r="U9" s="79"/>
    </row>
    <row r="10" spans="1:21" x14ac:dyDescent="0.3">
      <c r="A10" s="30" t="s">
        <v>25</v>
      </c>
      <c r="B10" s="55"/>
      <c r="C10" s="74"/>
      <c r="D10" s="119"/>
      <c r="E10" s="116"/>
      <c r="F10" s="27"/>
      <c r="G10" s="44" t="str">
        <f t="shared" si="0"/>
        <v/>
      </c>
      <c r="H10" s="27"/>
      <c r="I10" s="37" t="str">
        <f t="shared" si="1"/>
        <v/>
      </c>
      <c r="J10" s="29"/>
      <c r="K10" s="47">
        <f t="shared" si="2"/>
        <v>0</v>
      </c>
      <c r="L10" s="119"/>
      <c r="M10" s="37">
        <f>'RESUMO '!$K$8</f>
        <v>0</v>
      </c>
      <c r="N10" s="24">
        <f>M10*'UC GERADORA'!O10</f>
        <v>0</v>
      </c>
      <c r="O10" s="25">
        <f t="shared" si="3"/>
        <v>0</v>
      </c>
      <c r="P10" s="25">
        <f t="shared" si="4"/>
        <v>0</v>
      </c>
      <c r="Q10" s="28"/>
      <c r="S10" s="79"/>
      <c r="T10" s="79"/>
      <c r="U10" s="79"/>
    </row>
    <row r="11" spans="1:21" x14ac:dyDescent="0.3">
      <c r="A11" s="30" t="s">
        <v>26</v>
      </c>
      <c r="B11" s="55"/>
      <c r="C11" s="74"/>
      <c r="D11" s="119"/>
      <c r="E11" s="116"/>
      <c r="F11" s="27"/>
      <c r="G11" s="44" t="str">
        <f t="shared" si="0"/>
        <v/>
      </c>
      <c r="H11" s="27"/>
      <c r="I11" s="37" t="str">
        <f t="shared" si="1"/>
        <v/>
      </c>
      <c r="J11" s="29"/>
      <c r="K11" s="47">
        <f t="shared" si="2"/>
        <v>0</v>
      </c>
      <c r="L11" s="119"/>
      <c r="M11" s="37">
        <f>'RESUMO '!$K$8</f>
        <v>0</v>
      </c>
      <c r="N11" s="24">
        <f>M11*'UC GERADORA'!O11</f>
        <v>0</v>
      </c>
      <c r="O11" s="25">
        <f t="shared" si="3"/>
        <v>0</v>
      </c>
      <c r="P11" s="25">
        <f t="shared" si="4"/>
        <v>0</v>
      </c>
      <c r="Q11" s="28"/>
      <c r="S11" s="79"/>
      <c r="T11" s="79"/>
      <c r="U11" s="79"/>
    </row>
    <row r="12" spans="1:21" x14ac:dyDescent="0.3">
      <c r="A12" s="30" t="s">
        <v>28</v>
      </c>
      <c r="B12" s="55"/>
      <c r="C12" s="74"/>
      <c r="D12" s="119"/>
      <c r="E12" s="116"/>
      <c r="F12" s="27"/>
      <c r="G12" s="44" t="str">
        <f t="shared" si="0"/>
        <v/>
      </c>
      <c r="H12" s="27"/>
      <c r="I12" s="37" t="str">
        <f t="shared" si="1"/>
        <v/>
      </c>
      <c r="J12" s="29"/>
      <c r="K12" s="47">
        <f t="shared" si="2"/>
        <v>0</v>
      </c>
      <c r="L12" s="119"/>
      <c r="M12" s="37">
        <f>'RESUMO '!$K$8</f>
        <v>0</v>
      </c>
      <c r="N12" s="24">
        <f>M12*'UC GERADORA'!O12</f>
        <v>0</v>
      </c>
      <c r="O12" s="25">
        <f t="shared" si="3"/>
        <v>0</v>
      </c>
      <c r="P12" s="25">
        <f t="shared" si="4"/>
        <v>0</v>
      </c>
      <c r="Q12" s="28"/>
      <c r="S12" s="79"/>
      <c r="T12" s="79"/>
      <c r="U12" s="79"/>
    </row>
    <row r="13" spans="1:21" x14ac:dyDescent="0.3">
      <c r="A13" s="30" t="s">
        <v>29</v>
      </c>
      <c r="B13" s="55"/>
      <c r="C13" s="74"/>
      <c r="D13" s="119"/>
      <c r="E13" s="116"/>
      <c r="F13" s="27"/>
      <c r="G13" s="44" t="str">
        <f t="shared" si="0"/>
        <v/>
      </c>
      <c r="H13" s="27"/>
      <c r="I13" s="37" t="str">
        <f t="shared" si="1"/>
        <v/>
      </c>
      <c r="J13" s="29"/>
      <c r="K13" s="47">
        <f t="shared" si="2"/>
        <v>0</v>
      </c>
      <c r="L13" s="119"/>
      <c r="M13" s="37">
        <f>'RESUMO '!$K$8</f>
        <v>0</v>
      </c>
      <c r="N13" s="24">
        <f>M13*'UC GERADORA'!O13</f>
        <v>0</v>
      </c>
      <c r="O13" s="25">
        <f t="shared" si="3"/>
        <v>0</v>
      </c>
      <c r="P13" s="25">
        <f t="shared" si="4"/>
        <v>0</v>
      </c>
      <c r="Q13" s="28"/>
      <c r="S13" s="79"/>
      <c r="T13" s="79"/>
      <c r="U13" s="79"/>
    </row>
    <row r="14" spans="1:21" x14ac:dyDescent="0.3">
      <c r="A14" s="30" t="s">
        <v>30</v>
      </c>
      <c r="B14" s="55"/>
      <c r="C14" s="74"/>
      <c r="D14" s="119"/>
      <c r="E14" s="116"/>
      <c r="F14" s="27"/>
      <c r="G14" s="44" t="str">
        <f t="shared" si="0"/>
        <v/>
      </c>
      <c r="H14" s="27"/>
      <c r="I14" s="37" t="str">
        <f t="shared" si="1"/>
        <v/>
      </c>
      <c r="J14" s="29"/>
      <c r="K14" s="47">
        <f t="shared" si="2"/>
        <v>0</v>
      </c>
      <c r="L14" s="119"/>
      <c r="M14" s="37">
        <f>'RESUMO '!$K$8</f>
        <v>0</v>
      </c>
      <c r="N14" s="24">
        <f>M14*'UC GERADORA'!O14</f>
        <v>0</v>
      </c>
      <c r="O14" s="25">
        <f t="shared" si="3"/>
        <v>0</v>
      </c>
      <c r="P14" s="25">
        <f t="shared" si="4"/>
        <v>0</v>
      </c>
      <c r="Q14" s="28"/>
      <c r="S14" s="79"/>
      <c r="T14" s="79"/>
      <c r="U14" s="79"/>
    </row>
    <row r="15" spans="1:21" x14ac:dyDescent="0.3">
      <c r="A15" s="30" t="s">
        <v>32</v>
      </c>
      <c r="B15" s="55"/>
      <c r="C15" s="74"/>
      <c r="D15" s="119"/>
      <c r="E15" s="116"/>
      <c r="F15" s="27"/>
      <c r="G15" s="44" t="str">
        <f t="shared" si="0"/>
        <v/>
      </c>
      <c r="H15" s="27"/>
      <c r="I15" s="37" t="str">
        <f t="shared" si="1"/>
        <v/>
      </c>
      <c r="J15" s="29"/>
      <c r="K15" s="47">
        <f t="shared" si="2"/>
        <v>0</v>
      </c>
      <c r="L15" s="119"/>
      <c r="M15" s="37">
        <f>'RESUMO '!$K$8</f>
        <v>0</v>
      </c>
      <c r="N15" s="24">
        <f>M15*'UC GERADORA'!O15</f>
        <v>0</v>
      </c>
      <c r="O15" s="25">
        <f t="shared" si="3"/>
        <v>0</v>
      </c>
      <c r="P15" s="25">
        <f t="shared" si="4"/>
        <v>0</v>
      </c>
      <c r="Q15" s="28"/>
      <c r="S15" s="79"/>
      <c r="T15" s="79"/>
      <c r="U15" s="79"/>
    </row>
    <row r="16" spans="1:21" x14ac:dyDescent="0.3">
      <c r="A16" s="30" t="s">
        <v>35</v>
      </c>
      <c r="B16" s="55"/>
      <c r="C16" s="74"/>
      <c r="D16" s="119"/>
      <c r="E16" s="111"/>
      <c r="F16" s="27"/>
      <c r="G16" s="44" t="str">
        <f t="shared" si="0"/>
        <v/>
      </c>
      <c r="H16" s="27"/>
      <c r="I16" s="37" t="str">
        <f t="shared" si="1"/>
        <v/>
      </c>
      <c r="J16" s="29"/>
      <c r="K16" s="47">
        <f t="shared" si="2"/>
        <v>0</v>
      </c>
      <c r="L16" s="119"/>
      <c r="M16" s="37">
        <f>'RESUMO '!$K$8</f>
        <v>0</v>
      </c>
      <c r="N16" s="24">
        <f>M16*'UC GERADORA'!O16</f>
        <v>0</v>
      </c>
      <c r="O16" s="25">
        <f t="shared" si="3"/>
        <v>0</v>
      </c>
      <c r="P16" s="25">
        <f t="shared" si="4"/>
        <v>0</v>
      </c>
      <c r="Q16" s="28"/>
      <c r="S16" s="79"/>
      <c r="T16" s="79"/>
      <c r="U16" s="79"/>
    </row>
    <row r="17" spans="1:17" x14ac:dyDescent="0.3">
      <c r="D17" s="119"/>
      <c r="E17" s="39" t="e">
        <f>E5*12</f>
        <v>#VALUE!</v>
      </c>
      <c r="F17" s="23" t="str">
        <f>IFERROR(AVERAGE(F5:F16),"")</f>
        <v/>
      </c>
      <c r="G17" s="44" t="str">
        <f t="shared" si="0"/>
        <v/>
      </c>
      <c r="H17" s="23">
        <f>SUM(H5:H16)</f>
        <v>0</v>
      </c>
      <c r="I17" s="37" t="str">
        <f t="shared" si="1"/>
        <v/>
      </c>
      <c r="J17" s="23">
        <f>SUM(J5:J16)</f>
        <v>0</v>
      </c>
      <c r="K17" s="47">
        <f>SUM(K5:K16)</f>
        <v>0</v>
      </c>
      <c r="L17" s="119"/>
      <c r="M17" s="37">
        <f>AVERAGE(M5:M16)</f>
        <v>0</v>
      </c>
      <c r="N17" s="23">
        <f>SUM(N5:N16)</f>
        <v>0</v>
      </c>
      <c r="O17" s="23">
        <f>SUM(O5:O16)</f>
        <v>0</v>
      </c>
      <c r="P17" s="23"/>
      <c r="Q17" s="35">
        <f>SUM(Q5:Q16)</f>
        <v>0</v>
      </c>
    </row>
    <row r="18" spans="1:17" x14ac:dyDescent="0.3">
      <c r="A18" s="117" t="s">
        <v>63</v>
      </c>
      <c r="B18" s="114"/>
      <c r="C18" s="84"/>
    </row>
    <row r="19" spans="1:17" x14ac:dyDescent="0.3">
      <c r="A19" s="2" t="s">
        <v>65</v>
      </c>
      <c r="B19" s="21" t="s">
        <v>66</v>
      </c>
      <c r="C19" s="21"/>
    </row>
    <row r="20" spans="1:17" ht="15" customHeight="1" x14ac:dyDescent="0.3">
      <c r="A20" s="17" t="s">
        <v>67</v>
      </c>
      <c r="B20" s="22" t="s">
        <v>68</v>
      </c>
      <c r="C20" s="22"/>
    </row>
    <row r="21" spans="1:17" x14ac:dyDescent="0.3">
      <c r="A21" s="36" t="s">
        <v>69</v>
      </c>
      <c r="B21" s="126" t="s">
        <v>86</v>
      </c>
      <c r="C21" s="84"/>
    </row>
    <row r="97" spans="12:17" x14ac:dyDescent="0.3">
      <c r="L97" s="1"/>
      <c r="M97" s="1"/>
      <c r="N97" s="1"/>
      <c r="O97" s="1"/>
      <c r="P97" s="1"/>
      <c r="Q97" s="1"/>
    </row>
  </sheetData>
  <mergeCells count="13">
    <mergeCell ref="S3:U3"/>
    <mergeCell ref="D3:D17"/>
    <mergeCell ref="M3:Q3"/>
    <mergeCell ref="E3:J3"/>
    <mergeCell ref="E5:E16"/>
    <mergeCell ref="B21:C21"/>
    <mergeCell ref="A2:I2"/>
    <mergeCell ref="L3:L17"/>
    <mergeCell ref="A1:P1"/>
    <mergeCell ref="B3:C3"/>
    <mergeCell ref="A3:A4"/>
    <mergeCell ref="A18:C18"/>
    <mergeCell ref="J2:Q2"/>
  </mergeCell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</vt:lpstr>
      <vt:lpstr>UC GERADORA</vt:lpstr>
      <vt:lpstr>UC BENEF.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Fideles</dc:creator>
  <cp:lastModifiedBy>João Felipe Prado</cp:lastModifiedBy>
  <dcterms:created xsi:type="dcterms:W3CDTF">2019-02-14T16:03:49Z</dcterms:created>
  <dcterms:modified xsi:type="dcterms:W3CDTF">2026-01-20T11:22:55Z</dcterms:modified>
</cp:coreProperties>
</file>