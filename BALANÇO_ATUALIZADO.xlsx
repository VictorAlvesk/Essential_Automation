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4120" yWindow="-120" windowWidth="24240" windowHeight="13020" tabRatio="717" firstSheet="0" activeTab="1" autoFilterDateGrouping="1"/>
  </bookViews>
  <sheets>
    <sheet name="RESUMO " sheetId="1" state="visible" r:id="rId1"/>
    <sheet name="UC GERADORA" sheetId="2" state="visible" r:id="rId2"/>
    <sheet name="UC BENEF. 1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&quot;R$&quot;\ * #,##0.00_-;\-&quot;R$&quot;\ * #,##0.00_-;_-&quot;R$&quot;\ * &quot;-&quot;??_-;_-@_-"/>
  </numFmts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12"/>
      <scheme val="minor"/>
    </font>
  </fonts>
  <fills count="1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2" tint="-0.249977111117893"/>
      </left>
      <right style="thin">
        <color indexed="64"/>
      </right>
      <top style="thin">
        <color theme="2" tint="-0.249977111117893"/>
      </top>
      <bottom style="thin">
        <color indexed="64"/>
      </bottom>
      <diagonal/>
    </border>
    <border>
      <left style="thin">
        <color indexed="64"/>
      </left>
      <right style="thin">
        <color theme="2" tint="-0.249977111117893"/>
      </right>
      <top style="thin">
        <color theme="2" tint="-0.249977111117893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2" tint="-0.249977111117893"/>
      </bottom>
      <diagonal/>
    </border>
    <border>
      <left/>
      <right style="thin">
        <color indexed="64"/>
      </right>
      <top style="thin">
        <color indexed="64"/>
      </top>
      <bottom style="thin">
        <color theme="2" tint="-0.249977111117893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2" tint="-0.249977111117893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4" fillId="0" borderId="0"/>
    <xf numFmtId="44" fontId="4" fillId="0" borderId="0"/>
    <xf numFmtId="9" fontId="4" fillId="0" borderId="0"/>
  </cellStyleXfs>
  <cellXfs count="184">
    <xf numFmtId="0" fontId="0" fillId="0" borderId="0" pivotButton="0" quotePrefix="0" xfId="0"/>
    <xf numFmtId="0" fontId="3" fillId="0" borderId="0" pivotButton="0" quotePrefix="0" xfId="0"/>
    <xf numFmtId="0" fontId="2" fillId="3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9" fontId="0" fillId="0" borderId="1" applyAlignment="1" pivotButton="0" quotePrefix="0" xfId="2">
      <alignment horizontal="center" vertical="center"/>
    </xf>
    <xf numFmtId="0" fontId="0" fillId="0" borderId="0" applyAlignment="1" pivotButton="0" quotePrefix="0" xfId="0">
      <alignment horizontal="center"/>
    </xf>
    <xf numFmtId="0" fontId="2" fillId="2" borderId="1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" fontId="0" fillId="2" borderId="1" applyAlignment="1" pivotButton="0" quotePrefix="0" xfId="0">
      <alignment horizontal="center" vertical="center"/>
    </xf>
    <xf numFmtId="9" fontId="2" fillId="4" borderId="17" applyAlignment="1" pivotButton="0" quotePrefix="0" xfId="0">
      <alignment horizontal="center" vertical="center"/>
    </xf>
    <xf numFmtId="0" fontId="2" fillId="3" borderId="10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6" fillId="0" borderId="0" pivotButton="0" quotePrefix="0" xfId="0"/>
    <xf numFmtId="0" fontId="2" fillId="6" borderId="1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6" borderId="12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/>
    </xf>
    <xf numFmtId="0" fontId="2" fillId="7" borderId="10" applyAlignment="1" pivotButton="0" quotePrefix="0" xfId="0">
      <alignment horizontal="center" vertical="center"/>
    </xf>
    <xf numFmtId="0" fontId="0" fillId="7" borderId="10" applyAlignment="1" pivotButton="0" quotePrefix="0" xfId="0">
      <alignment horizontal="center" vertical="center"/>
    </xf>
    <xf numFmtId="0" fontId="0" fillId="7" borderId="12" applyAlignment="1" pivotButton="0" quotePrefix="0" xfId="0">
      <alignment horizontal="center" vertical="center"/>
    </xf>
    <xf numFmtId="0" fontId="2" fillId="3" borderId="1" pivotButton="0" quotePrefix="0" xfId="0"/>
    <xf numFmtId="0" fontId="2" fillId="6" borderId="1" pivotButton="0" quotePrefix="0" xfId="0"/>
    <xf numFmtId="2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4" fontId="0" fillId="6" borderId="1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center" vertical="center"/>
    </xf>
    <xf numFmtId="164" fontId="0" fillId="3" borderId="1" applyAlignment="1" pivotButton="0" quotePrefix="0" xfId="1">
      <alignment horizontal="center" vertical="center"/>
    </xf>
    <xf numFmtId="0" fontId="0" fillId="9" borderId="1" applyAlignment="1" pivotButton="0" quotePrefix="0" xfId="0">
      <alignment horizontal="center"/>
    </xf>
    <xf numFmtId="2" fontId="0" fillId="9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10" fontId="0" fillId="9" borderId="1" applyAlignment="1" pivotButton="0" quotePrefix="0" xfId="0">
      <alignment horizontal="center" vertical="center"/>
    </xf>
    <xf numFmtId="4" fontId="0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/>
    </xf>
    <xf numFmtId="9" fontId="0" fillId="6" borderId="1" applyAlignment="1" pivotButton="0" quotePrefix="0" xfId="2">
      <alignment horizontal="center" vertical="center"/>
    </xf>
    <xf numFmtId="0" fontId="0" fillId="5" borderId="1" applyAlignment="1" pivotButton="0" quotePrefix="0" xfId="0">
      <alignment horizontal="center" vertical="center"/>
    </xf>
    <xf numFmtId="2" fontId="0" fillId="5" borderId="1" applyAlignment="1" pivotButton="0" quotePrefix="0" xfId="0">
      <alignment horizontal="center" vertical="center"/>
    </xf>
    <xf numFmtId="0" fontId="2" fillId="2" borderId="1" applyAlignment="1" pivotButton="0" quotePrefix="0" xfId="0">
      <alignment vertical="center" wrapText="1"/>
    </xf>
    <xf numFmtId="1" fontId="2" fillId="2" borderId="1" applyAlignment="1" pivotButton="0" quotePrefix="0" xfId="0">
      <alignment horizontal="center" vertical="center" wrapText="1"/>
    </xf>
    <xf numFmtId="9" fontId="0" fillId="4" borderId="11" applyAlignment="1" pivotButton="0" quotePrefix="0" xfId="2">
      <alignment horizontal="center" vertical="center"/>
    </xf>
    <xf numFmtId="9" fontId="2" fillId="4" borderId="13" applyAlignment="1" pivotButton="0" quotePrefix="0" xfId="2">
      <alignment horizontal="center" vertical="center"/>
    </xf>
    <xf numFmtId="9" fontId="0" fillId="5" borderId="1" applyAlignment="1" pivotButton="0" quotePrefix="0" xfId="2">
      <alignment horizontal="center" vertical="center"/>
    </xf>
    <xf numFmtId="2" fontId="0" fillId="9" borderId="1" applyAlignment="1" pivotButton="0" quotePrefix="0" xfId="1">
      <alignment horizontal="center" vertical="center"/>
    </xf>
    <xf numFmtId="0" fontId="0" fillId="2" borderId="0" applyAlignment="1" pivotButton="0" quotePrefix="0" xfId="0">
      <alignment horizontal="center" vertical="center" wrapText="1"/>
    </xf>
    <xf numFmtId="2" fontId="2" fillId="6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3" borderId="11" applyAlignment="1" pivotButton="0" quotePrefix="0" xfId="0">
      <alignment horizontal="center" vertical="center"/>
    </xf>
    <xf numFmtId="0" fontId="2" fillId="3" borderId="17" applyAlignment="1" pivotButton="0" quotePrefix="0" xfId="0">
      <alignment horizontal="center" vertical="center"/>
    </xf>
    <xf numFmtId="0" fontId="2" fillId="3" borderId="13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/>
    </xf>
    <xf numFmtId="14" fontId="0" fillId="9" borderId="1" applyAlignment="1" pivotButton="0" quotePrefix="0" xfId="0">
      <alignment horizontal="center" wrapText="1"/>
    </xf>
    <xf numFmtId="0" fontId="0" fillId="0" borderId="0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left" vertical="center"/>
    </xf>
    <xf numFmtId="0" fontId="0" fillId="12" borderId="1" applyAlignment="1" pivotButton="0" quotePrefix="0" xfId="0">
      <alignment horizontal="left" vertical="center"/>
    </xf>
    <xf numFmtId="4" fontId="2" fillId="7" borderId="1" applyAlignment="1" pivotButton="0" quotePrefix="0" xfId="0">
      <alignment horizontal="center" vertical="center"/>
    </xf>
    <xf numFmtId="4" fontId="0" fillId="3" borderId="17" applyAlignment="1" pivotButton="0" quotePrefix="0" xfId="0">
      <alignment horizontal="center" vertical="center"/>
    </xf>
    <xf numFmtId="4" fontId="0" fillId="0" borderId="0" pivotButton="0" quotePrefix="0" xfId="0"/>
    <xf numFmtId="4" fontId="0" fillId="3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/>
    </xf>
    <xf numFmtId="4" fontId="2" fillId="4" borderId="17" applyAlignment="1" pivotButton="0" quotePrefix="0" xfId="0">
      <alignment horizontal="center" vertical="center"/>
    </xf>
    <xf numFmtId="4" fontId="0" fillId="4" borderId="11" applyAlignment="1" pivotButton="0" quotePrefix="0" xfId="2">
      <alignment horizontal="center" vertical="center"/>
    </xf>
    <xf numFmtId="4" fontId="2" fillId="4" borderId="13" applyAlignment="1" pivotButton="0" quotePrefix="0" xfId="0">
      <alignment horizontal="center" vertical="center"/>
    </xf>
    <xf numFmtId="4" fontId="2" fillId="3" borderId="1" applyAlignment="1" pivotButton="0" quotePrefix="0" xfId="0">
      <alignment horizontal="center" vertical="center"/>
    </xf>
    <xf numFmtId="4" fontId="0" fillId="3" borderId="1" pivotButton="0" quotePrefix="0" xfId="0"/>
    <xf numFmtId="4" fontId="0" fillId="5" borderId="1" applyAlignment="1" pivotButton="0" quotePrefix="0" xfId="0">
      <alignment horizontal="center" vertical="center"/>
    </xf>
    <xf numFmtId="14" fontId="0" fillId="3" borderId="1" applyAlignment="1" pivotButton="0" quotePrefix="0" xfId="0">
      <alignment horizontal="center" wrapText="1"/>
    </xf>
    <xf numFmtId="4" fontId="0" fillId="3" borderId="1" applyAlignment="1" pivotButton="0" quotePrefix="0" xfId="2">
      <alignment horizontal="center" vertical="center"/>
    </xf>
    <xf numFmtId="9" fontId="0" fillId="3" borderId="1" applyAlignment="1" pivotButton="0" quotePrefix="0" xfId="2">
      <alignment horizontal="center" vertical="center"/>
    </xf>
    <xf numFmtId="9" fontId="2" fillId="3" borderId="17" applyAlignment="1" pivotButton="0" quotePrefix="0" xfId="0">
      <alignment horizontal="center" vertical="center"/>
    </xf>
    <xf numFmtId="0" fontId="6" fillId="3" borderId="12" pivotButton="0" quotePrefix="0" xfId="0"/>
    <xf numFmtId="0" fontId="2" fillId="7" borderId="20" applyAlignment="1" pivotButton="0" quotePrefix="0" xfId="0">
      <alignment horizontal="center" vertical="center"/>
    </xf>
    <xf numFmtId="0" fontId="2" fillId="7" borderId="21" applyAlignment="1" pivotButton="0" quotePrefix="0" xfId="0">
      <alignment horizontal="center" vertical="center"/>
    </xf>
    <xf numFmtId="0" fontId="2" fillId="7" borderId="22" applyAlignment="1" pivotButton="0" quotePrefix="0" xfId="0">
      <alignment horizontal="center" vertical="center"/>
    </xf>
    <xf numFmtId="0" fontId="2" fillId="7" borderId="23" applyAlignment="1" pivotButton="0" quotePrefix="0" xfId="0">
      <alignment horizontal="center" vertical="center"/>
    </xf>
    <xf numFmtId="0" fontId="2" fillId="7" borderId="24" applyAlignment="1" pivotButton="0" quotePrefix="0" xfId="0">
      <alignment horizontal="center" vertical="center"/>
    </xf>
    <xf numFmtId="0" fontId="2" fillId="7" borderId="25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6" fillId="5" borderId="20" applyAlignment="1" pivotButton="0" quotePrefix="0" xfId="0">
      <alignment horizontal="center"/>
    </xf>
    <xf numFmtId="0" fontId="6" fillId="5" borderId="21" applyAlignment="1" pivotButton="0" quotePrefix="0" xfId="0">
      <alignment horizontal="center"/>
    </xf>
    <xf numFmtId="0" fontId="6" fillId="5" borderId="22" applyAlignment="1" pivotButton="0" quotePrefix="0" xfId="0">
      <alignment horizontal="center"/>
    </xf>
    <xf numFmtId="0" fontId="6" fillId="3" borderId="17" applyAlignment="1" pivotButton="0" quotePrefix="0" xfId="0">
      <alignment horizontal="center"/>
    </xf>
    <xf numFmtId="0" fontId="6" fillId="3" borderId="13" applyAlignment="1" pivotButton="0" quotePrefix="0" xfId="0">
      <alignment horizontal="center"/>
    </xf>
    <xf numFmtId="0" fontId="0" fillId="3" borderId="3" applyAlignment="1" pivotButton="0" quotePrefix="0" xfId="0">
      <alignment horizontal="center" vertical="center"/>
    </xf>
    <xf numFmtId="0" fontId="0" fillId="3" borderId="4" applyAlignment="1" pivotButton="0" quotePrefix="0" xfId="0">
      <alignment horizontal="center" vertical="center"/>
    </xf>
    <xf numFmtId="0" fontId="2" fillId="4" borderId="23" applyAlignment="1" pivotButton="0" quotePrefix="0" xfId="0">
      <alignment horizontal="center" vertical="center" wrapText="1"/>
    </xf>
    <xf numFmtId="0" fontId="2" fillId="4" borderId="29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center" vertical="center"/>
    </xf>
    <xf numFmtId="0" fontId="2" fillId="2" borderId="19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30" applyAlignment="1" pivotButton="0" quotePrefix="0" xfId="0">
      <alignment horizontal="center" vertical="center"/>
    </xf>
    <xf numFmtId="0" fontId="2" fillId="2" borderId="31" applyAlignment="1" pivotButton="0" quotePrefix="0" xfId="0">
      <alignment horizontal="center" vertical="center"/>
    </xf>
    <xf numFmtId="0" fontId="2" fillId="2" borderId="35" applyAlignment="1" pivotButton="0" quotePrefix="0" xfId="0">
      <alignment horizontal="center" vertical="center"/>
    </xf>
    <xf numFmtId="0" fontId="2" fillId="6" borderId="14" applyAlignment="1" pivotButton="0" quotePrefix="0" xfId="0">
      <alignment horizontal="center" vertical="center"/>
    </xf>
    <xf numFmtId="0" fontId="2" fillId="6" borderId="15" applyAlignment="1" pivotButton="0" quotePrefix="0" xfId="0">
      <alignment horizontal="center" vertical="center"/>
    </xf>
    <xf numFmtId="0" fontId="2" fillId="6" borderId="16" applyAlignment="1" pivotButton="0" quotePrefix="0" xfId="0">
      <alignment horizontal="center" vertical="center"/>
    </xf>
    <xf numFmtId="0" fontId="2" fillId="6" borderId="3" applyAlignment="1" pivotButton="0" quotePrefix="0" xfId="0">
      <alignment horizontal="center" vertical="center"/>
    </xf>
    <xf numFmtId="0" fontId="2" fillId="6" borderId="18" applyAlignment="1" pivotButton="0" quotePrefix="0" xfId="0">
      <alignment horizontal="center" vertical="center"/>
    </xf>
    <xf numFmtId="0" fontId="2" fillId="3" borderId="27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4" borderId="32" applyAlignment="1" pivotButton="0" quotePrefix="0" xfId="0">
      <alignment horizontal="center" vertical="center"/>
    </xf>
    <xf numFmtId="0" fontId="2" fillId="4" borderId="33" applyAlignment="1" pivotButton="0" quotePrefix="0" xfId="0">
      <alignment horizontal="center" vertical="center"/>
    </xf>
    <xf numFmtId="0" fontId="2" fillId="4" borderId="34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2" fillId="8" borderId="1" applyAlignment="1" pivotButton="0" quotePrefix="0" xfId="0">
      <alignment horizontal="center"/>
    </xf>
    <xf numFmtId="0" fontId="2" fillId="2" borderId="2" applyAlignment="1" pivotButton="0" quotePrefix="0" xfId="0">
      <alignment horizontal="center" vertical="center"/>
    </xf>
    <xf numFmtId="0" fontId="2" fillId="10" borderId="3" applyAlignment="1" pivotButton="0" quotePrefix="0" xfId="0">
      <alignment horizontal="left"/>
    </xf>
    <xf numFmtId="0" fontId="2" fillId="10" borderId="4" applyAlignment="1" pivotButton="0" quotePrefix="0" xfId="0">
      <alignment horizontal="left"/>
    </xf>
    <xf numFmtId="0" fontId="2" fillId="2" borderId="5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2" fontId="0" fillId="5" borderId="27" applyAlignment="1" pivotButton="0" quotePrefix="0" xfId="1">
      <alignment horizontal="center" vertical="center"/>
    </xf>
    <xf numFmtId="2" fontId="0" fillId="5" borderId="28" applyAlignment="1" pivotButton="0" quotePrefix="0" xfId="1">
      <alignment horizontal="center" vertical="center"/>
    </xf>
    <xf numFmtId="2" fontId="0" fillId="5" borderId="2" applyAlignment="1" pivotButton="0" quotePrefix="0" xfId="1">
      <alignment horizontal="center" vertical="center"/>
    </xf>
    <xf numFmtId="0" fontId="2" fillId="3" borderId="3" applyAlignment="1" pivotButton="0" quotePrefix="0" xfId="0">
      <alignment horizontal="right"/>
    </xf>
    <xf numFmtId="0" fontId="2" fillId="3" borderId="26" applyAlignment="1" pivotButton="0" quotePrefix="0" xfId="0">
      <alignment horizontal="right"/>
    </xf>
    <xf numFmtId="1" fontId="2" fillId="3" borderId="26" applyAlignment="1" pivotButton="0" quotePrefix="0" xfId="0">
      <alignment horizontal="left"/>
    </xf>
    <xf numFmtId="0" fontId="2" fillId="3" borderId="26" applyAlignment="1" pivotButton="0" quotePrefix="0" xfId="0">
      <alignment horizontal="left"/>
    </xf>
    <xf numFmtId="0" fontId="2" fillId="3" borderId="4" applyAlignment="1" pivotButton="0" quotePrefix="0" xfId="0">
      <alignment horizontal="left"/>
    </xf>
    <xf numFmtId="0" fontId="0" fillId="2" borderId="26" applyAlignment="1" pivotButton="0" quotePrefix="0" xfId="0">
      <alignment horizontal="center" vertical="center" wrapText="1"/>
    </xf>
    <xf numFmtId="2" fontId="2" fillId="5" borderId="27" applyAlignment="1" pivotButton="0" quotePrefix="0" xfId="1">
      <alignment horizontal="center" vertical="center"/>
    </xf>
    <xf numFmtId="2" fontId="2" fillId="5" borderId="28" applyAlignment="1" pivotButton="0" quotePrefix="0" xfId="1">
      <alignment horizontal="center" vertical="center"/>
    </xf>
    <xf numFmtId="2" fontId="2" fillId="5" borderId="2" applyAlignment="1" pivotButton="0" quotePrefix="0" xfId="1">
      <alignment horizontal="center" vertical="center"/>
    </xf>
    <xf numFmtId="0" fontId="0" fillId="0" borderId="36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14" borderId="1" pivotButton="0" quotePrefix="0" xfId="0"/>
    <xf numFmtId="0" fontId="2" fillId="2" borderId="7" applyAlignment="1" pivotButton="0" quotePrefix="0" xfId="0">
      <alignment vertical="center"/>
    </xf>
    <xf numFmtId="0" fontId="2" fillId="2" borderId="6" applyAlignment="1" pivotButton="0" quotePrefix="0" xfId="0">
      <alignment vertical="center"/>
    </xf>
    <xf numFmtId="0" fontId="2" fillId="2" borderId="37" applyAlignment="1" pivotButton="0" quotePrefix="0" xfId="0">
      <alignment horizontal="center" vertical="center"/>
    </xf>
    <xf numFmtId="0" fontId="2" fillId="2" borderId="38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/>
    </xf>
    <xf numFmtId="0" fontId="2" fillId="13" borderId="1" applyAlignment="1" pivotButton="0" quotePrefix="0" xfId="0">
      <alignment horizontal="center" vertical="center"/>
    </xf>
    <xf numFmtId="0" fontId="6" fillId="5" borderId="40" applyAlignment="1" pivotButton="0" quotePrefix="0" xfId="0">
      <alignment horizontal="center"/>
    </xf>
    <xf numFmtId="0" fontId="0" fillId="0" borderId="21" pivotButton="0" quotePrefix="0" xfId="0"/>
    <xf numFmtId="0" fontId="0" fillId="0" borderId="22" pivotButton="0" quotePrefix="0" xfId="0"/>
    <xf numFmtId="0" fontId="0" fillId="0" borderId="34" pivotButton="0" quotePrefix="0" xfId="0"/>
    <xf numFmtId="0" fontId="2" fillId="2" borderId="40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5" pivotButton="0" quotePrefix="0" xfId="0"/>
    <xf numFmtId="0" fontId="0" fillId="0" borderId="45" pivotButton="0" quotePrefix="0" xfId="0"/>
    <xf numFmtId="0" fontId="0" fillId="0" borderId="4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1" applyAlignment="1" pivotButton="0" quotePrefix="0" xfId="0">
      <alignment horizontal="center" vertical="center" wrapText="1"/>
    </xf>
    <xf numFmtId="0" fontId="2" fillId="6" borderId="11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2" pivotButton="0" quotePrefix="0" xfId="0"/>
    <xf numFmtId="0" fontId="0" fillId="0" borderId="29" pivotButton="0" quotePrefix="0" xfId="0"/>
    <xf numFmtId="0" fontId="0" fillId="0" borderId="1" applyAlignment="1" pivotButton="0" quotePrefix="0" xfId="0">
      <alignment horizontal="center" vertical="center"/>
    </xf>
    <xf numFmtId="0" fontId="2" fillId="7" borderId="40" applyAlignment="1" pivotButton="0" quotePrefix="0" xfId="0">
      <alignment horizontal="center" vertical="center"/>
    </xf>
    <xf numFmtId="0" fontId="2" fillId="7" borderId="13" applyAlignment="1" pivotButton="0" quotePrefix="0" xfId="0">
      <alignment horizontal="center" vertical="center"/>
    </xf>
    <xf numFmtId="0" fontId="0" fillId="0" borderId="24" pivotButton="0" quotePrefix="0" xfId="0"/>
    <xf numFmtId="0" fontId="0" fillId="0" borderId="1" applyAlignment="1" pivotButton="0" quotePrefix="0" xfId="0">
      <alignment horizontal="center"/>
    </xf>
    <xf numFmtId="0" fontId="2" fillId="4" borderId="12" applyAlignment="1" pivotButton="0" quotePrefix="0" xfId="0">
      <alignment horizontal="center" vertical="center"/>
    </xf>
    <xf numFmtId="0" fontId="0" fillId="0" borderId="33" pivotButton="0" quotePrefix="0" xfId="0"/>
    <xf numFmtId="0" fontId="0" fillId="0" borderId="25" pivotButton="0" quotePrefix="0" xfId="0"/>
    <xf numFmtId="0" fontId="0" fillId="0" borderId="26" pivotButton="0" quotePrefix="0" xfId="0"/>
    <xf numFmtId="1" fontId="2" fillId="3" borderId="4" applyAlignment="1" pivotButton="0" quotePrefix="0" xfId="0">
      <alignment horizontal="left"/>
    </xf>
    <xf numFmtId="0" fontId="2" fillId="2" borderId="47" applyAlignment="1" pivotButton="0" quotePrefix="0" xfId="0">
      <alignment horizontal="center" vertical="center"/>
    </xf>
    <xf numFmtId="0" fontId="0" fillId="0" borderId="38" pivotButton="0" quotePrefix="0" xfId="0"/>
    <xf numFmtId="0" fontId="0" fillId="0" borderId="49" pivotButton="0" quotePrefix="0" xfId="0"/>
    <xf numFmtId="0" fontId="0" fillId="0" borderId="5" pivotButton="0" quotePrefix="0" xfId="0"/>
    <xf numFmtId="2" fontId="0" fillId="5" borderId="1" applyAlignment="1" pivotButton="0" quotePrefix="0" xfId="1">
      <alignment horizontal="center" vertical="center"/>
    </xf>
    <xf numFmtId="164" fontId="0" fillId="3" borderId="1" applyAlignment="1" pivotButton="0" quotePrefix="0" xfId="1">
      <alignment horizontal="center" vertical="center"/>
    </xf>
    <xf numFmtId="0" fontId="0" fillId="0" borderId="28" pivotButton="0" quotePrefix="0" xfId="0"/>
    <xf numFmtId="0" fontId="2" fillId="10" borderId="1" applyAlignment="1" pivotButton="0" quotePrefix="0" xfId="0">
      <alignment horizontal="left"/>
    </xf>
    <xf numFmtId="2" fontId="2" fillId="5" borderId="1" applyAlignment="1" pivotButton="0" quotePrefix="0" xfId="1">
      <alignment horizontal="center" vertical="center"/>
    </xf>
  </cellXfs>
  <cellStyles count="3">
    <cellStyle name="Normal" xfId="0" builtinId="0"/>
    <cellStyle name="Moeda" xfId="1" builtinId="4"/>
    <cellStyle name="Porcentagem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M26"/>
  <sheetViews>
    <sheetView showGridLines="0" zoomScale="85" zoomScaleNormal="85" workbookViewId="0">
      <selection activeCell="L8" sqref="L8"/>
    </sheetView>
  </sheetViews>
  <sheetFormatPr baseColWidth="8" defaultRowHeight="14.4"/>
  <cols>
    <col width="19.6640625" bestFit="1" customWidth="1" min="1" max="1"/>
    <col width="9.5546875" customWidth="1" min="2" max="2"/>
    <col width="20.6640625" bestFit="1" customWidth="1" min="3" max="3"/>
    <col width="21.109375" customWidth="1" min="5" max="5"/>
    <col width="20" customWidth="1" min="6" max="6"/>
    <col width="12.109375" bestFit="1" customWidth="1" min="7" max="7"/>
    <col width="16.33203125" customWidth="1" min="8" max="8"/>
    <col width="16.109375" customWidth="1" min="9" max="9"/>
    <col width="16.109375" bestFit="1" customWidth="1" min="10" max="10"/>
    <col width="16.44140625" bestFit="1" customWidth="1" min="11" max="11"/>
    <col width="21.44140625" bestFit="1" customWidth="1" min="12" max="12"/>
    <col width="12.88671875" bestFit="1" customWidth="1" min="13" max="13"/>
  </cols>
  <sheetData>
    <row r="2" ht="15" customHeight="1" thickBot="1"/>
    <row r="3" ht="16.2" customHeight="1" thickBot="1">
      <c r="A3" s="147" t="inlineStr">
        <is>
          <t>USINA SOLAR FOTOVOLTAICA</t>
        </is>
      </c>
      <c r="B3" s="148" t="n"/>
      <c r="C3" s="149" t="n"/>
      <c r="D3" s="13" t="n"/>
    </row>
    <row r="4" ht="16.2" customHeight="1" thickBot="1">
      <c r="A4" s="78" t="inlineStr">
        <is>
          <t xml:space="preserve">CLIENTE </t>
        </is>
      </c>
      <c r="B4" s="91" t="n"/>
      <c r="C4" s="150" t="n"/>
      <c r="D4" s="13" t="n"/>
      <c r="E4" s="151" t="inlineStr">
        <is>
          <t xml:space="preserve">RATEIO CADASTRADO </t>
        </is>
      </c>
      <c r="F4" s="152" t="n"/>
      <c r="G4" s="152" t="n"/>
      <c r="H4" s="152" t="n"/>
      <c r="I4" s="152" t="n"/>
      <c r="J4" s="152" t="n"/>
      <c r="K4" s="152" t="n"/>
      <c r="L4" s="152" t="n"/>
      <c r="M4" s="153" t="n"/>
    </row>
    <row r="5" ht="15" customHeight="1" thickBot="1">
      <c r="E5" s="154" t="n"/>
      <c r="F5" s="155" t="n"/>
      <c r="G5" s="155" t="n"/>
      <c r="H5" s="155" t="n"/>
      <c r="I5" s="155" t="n"/>
      <c r="J5" s="155" t="n"/>
      <c r="K5" s="155" t="n"/>
      <c r="L5" s="155" t="n"/>
      <c r="M5" s="156" t="n"/>
    </row>
    <row r="6" ht="28.5" customHeight="1">
      <c r="A6" s="103" t="inlineStr">
        <is>
          <t xml:space="preserve">Dados de Potência </t>
        </is>
      </c>
      <c r="B6" s="148" t="n"/>
      <c r="C6" s="157" t="n"/>
      <c r="E6" s="6" t="inlineStr">
        <is>
          <t>Unidades</t>
        </is>
      </c>
      <c r="F6" s="6" t="inlineStr">
        <is>
          <t>Unidade Consumidora</t>
        </is>
      </c>
      <c r="G6" s="85" t="inlineStr">
        <is>
          <t xml:space="preserve">Local </t>
        </is>
      </c>
      <c r="H6" s="158" t="n"/>
      <c r="I6" s="7" t="inlineStr">
        <is>
          <t>Consumo Médio (kWh)</t>
        </is>
      </c>
      <c r="J6" s="40" t="inlineStr">
        <is>
          <t>Rateio pela média</t>
        </is>
      </c>
      <c r="K6" s="159" t="inlineStr">
        <is>
          <t>Rateio Cadastrado</t>
        </is>
      </c>
      <c r="L6" s="160" t="inlineStr">
        <is>
          <t>Média Energia Recebida</t>
        </is>
      </c>
      <c r="M6" s="160" t="inlineStr">
        <is>
          <t xml:space="preserve">Atendimento </t>
        </is>
      </c>
    </row>
    <row r="7">
      <c r="A7" s="14" t="inlineStr">
        <is>
          <t>Potência kWp</t>
        </is>
      </c>
      <c r="B7" s="161">
        <f>B8*C8/1000</f>
        <v/>
      </c>
      <c r="C7" s="162" t="n"/>
      <c r="E7" s="10" t="inlineStr">
        <is>
          <t>Geradora</t>
        </is>
      </c>
      <c r="F7" s="11" t="n"/>
      <c r="G7" s="12" t="n"/>
      <c r="H7" s="158" t="n"/>
      <c r="I7" s="65">
        <f>'UC GERADORA'!L19</f>
        <v/>
      </c>
      <c r="J7" s="41">
        <f>B13-I7</f>
        <v/>
      </c>
      <c r="K7" s="163" t="n"/>
      <c r="L7" s="164" t="n"/>
      <c r="M7" s="164" t="n"/>
    </row>
    <row r="8">
      <c r="A8" s="14" t="inlineStr">
        <is>
          <t>Número de Placas</t>
        </is>
      </c>
      <c r="B8" s="50" t="n"/>
      <c r="C8" s="51" t="n"/>
      <c r="E8" s="6" t="n">
        <v>1</v>
      </c>
      <c r="F8" s="8" t="n"/>
      <c r="G8" s="165" t="n"/>
      <c r="H8" s="158" t="n"/>
      <c r="I8" s="66">
        <f>'UC BENEF. 1'!F17</f>
        <v/>
      </c>
      <c r="J8" s="4">
        <f>IFERROR(I8/$J$7,"")</f>
        <v/>
      </c>
      <c r="K8" s="75" t="n"/>
      <c r="L8" s="69">
        <f>K8*$J$7</f>
        <v/>
      </c>
      <c r="M8" s="42">
        <f>IFERROR(L8/I8,"")</f>
        <v/>
      </c>
    </row>
    <row r="9" ht="15" customHeight="1" thickBot="1">
      <c r="A9" s="16" t="inlineStr">
        <is>
          <t>Inversores</t>
        </is>
      </c>
      <c r="B9" s="52" t="n"/>
      <c r="C9" s="53" t="n"/>
      <c r="E9" s="6" t="n">
        <v>2</v>
      </c>
      <c r="F9" s="8" t="n"/>
      <c r="G9" s="165" t="n"/>
      <c r="H9" s="158" t="n"/>
      <c r="I9" s="66" t="n"/>
      <c r="J9" s="4">
        <f>IFERROR(I9/$J$7,"")</f>
        <v/>
      </c>
      <c r="K9" s="76" t="n"/>
      <c r="L9" s="69">
        <f>K9*$J$7</f>
        <v/>
      </c>
      <c r="M9" s="42">
        <f>IFERROR(L9/I9,"")</f>
        <v/>
      </c>
    </row>
    <row r="10" ht="15" customHeight="1" thickBot="1">
      <c r="E10" s="6" t="n">
        <v>3</v>
      </c>
      <c r="F10" s="8" t="n"/>
      <c r="G10" s="165" t="n"/>
      <c r="H10" s="158" t="n"/>
      <c r="I10" s="66" t="n"/>
      <c r="J10" s="4">
        <f>IFERROR(I10/$J$7,"")</f>
        <v/>
      </c>
      <c r="K10" s="76" t="n"/>
      <c r="L10" s="69">
        <f>K10*$J$7</f>
        <v/>
      </c>
      <c r="M10" s="42">
        <f>IFERROR(L10/I10,"")</f>
        <v/>
      </c>
    </row>
    <row r="11">
      <c r="A11" s="166" t="inlineStr">
        <is>
          <t>Dados de Geração (Report)</t>
        </is>
      </c>
      <c r="B11" s="148" t="n"/>
      <c r="C11" s="149" t="n"/>
      <c r="E11" s="6" t="n">
        <v>4</v>
      </c>
      <c r="F11" s="8" t="n"/>
      <c r="G11" s="165" t="n"/>
      <c r="H11" s="158" t="n"/>
      <c r="I11" s="66" t="n"/>
      <c r="J11" s="4">
        <f>IFERROR(I11/$J$7,"")</f>
        <v/>
      </c>
      <c r="K11" s="76" t="n"/>
      <c r="L11" s="69">
        <f>K11*$J$7</f>
        <v/>
      </c>
      <c r="M11" s="42">
        <f>IFERROR(L11/I11,"")</f>
        <v/>
      </c>
    </row>
    <row r="12">
      <c r="A12" s="18" t="inlineStr">
        <is>
          <t>Anual (E Grid)</t>
        </is>
      </c>
      <c r="B12" s="62">
        <f>SUM(B14:B25)</f>
        <v/>
      </c>
      <c r="C12" s="167" t="inlineStr">
        <is>
          <t xml:space="preserve">kWh </t>
        </is>
      </c>
      <c r="E12" s="6" t="n">
        <v>5</v>
      </c>
      <c r="F12" s="8" t="n"/>
      <c r="G12" s="165" t="n"/>
      <c r="H12" s="158" t="n"/>
      <c r="I12" s="66" t="n"/>
      <c r="J12" s="4">
        <f>IFERROR(I12/$J$7,"")</f>
        <v/>
      </c>
      <c r="K12" s="76" t="n"/>
      <c r="L12" s="69">
        <f>K12*$J$7</f>
        <v/>
      </c>
      <c r="M12" s="42">
        <f>IFERROR(L12/I12,"")</f>
        <v/>
      </c>
    </row>
    <row r="13">
      <c r="A13" s="18" t="inlineStr">
        <is>
          <t>Média Mensal</t>
        </is>
      </c>
      <c r="B13" s="62">
        <f>B12/12</f>
        <v/>
      </c>
      <c r="C13" s="168" t="n"/>
      <c r="E13" s="6" t="n">
        <v>6</v>
      </c>
      <c r="F13" s="8" t="n"/>
      <c r="G13" s="165" t="n"/>
      <c r="H13" s="158" t="n"/>
      <c r="I13" s="66" t="n"/>
      <c r="J13" s="4">
        <f>IFERROR(I13/$J$7,"")</f>
        <v/>
      </c>
      <c r="K13" s="76" t="n"/>
      <c r="L13" s="69">
        <f>K13*$J$7</f>
        <v/>
      </c>
      <c r="M13" s="42">
        <f>IFERROR(L13/I13,"")</f>
        <v/>
      </c>
    </row>
    <row r="14">
      <c r="A14" s="19" t="inlineStr">
        <is>
          <t>Jan</t>
        </is>
      </c>
      <c r="B14" s="28" t="n"/>
      <c r="C14" s="168" t="n"/>
      <c r="E14" s="6" t="n">
        <v>7</v>
      </c>
      <c r="F14" s="8" t="n"/>
      <c r="G14" s="165" t="n"/>
      <c r="H14" s="158" t="n"/>
      <c r="I14" s="66" t="n"/>
      <c r="J14" s="4">
        <f>IFERROR(I14/$J$7,"")</f>
        <v/>
      </c>
      <c r="K14" s="76" t="n"/>
      <c r="L14" s="69">
        <f>K14*$J$7</f>
        <v/>
      </c>
      <c r="M14" s="42">
        <f>IFERROR(L14/I14,"")</f>
        <v/>
      </c>
    </row>
    <row r="15">
      <c r="A15" s="19" t="inlineStr">
        <is>
          <t>Fev</t>
        </is>
      </c>
      <c r="B15" s="28" t="n"/>
      <c r="C15" s="168" t="n"/>
      <c r="E15" s="6" t="n">
        <v>8</v>
      </c>
      <c r="F15" s="8" t="n"/>
      <c r="G15" s="165" t="n"/>
      <c r="H15" s="158" t="n"/>
      <c r="I15" s="66" t="n"/>
      <c r="J15" s="4">
        <f>IFERROR(I15/$J$7,"")</f>
        <v/>
      </c>
      <c r="K15" s="76" t="n"/>
      <c r="L15" s="69">
        <f>K15*$J$7</f>
        <v/>
      </c>
      <c r="M15" s="42">
        <f>IFERROR(L15/I15,"")</f>
        <v/>
      </c>
    </row>
    <row r="16">
      <c r="A16" s="19" t="inlineStr">
        <is>
          <t>Mar</t>
        </is>
      </c>
      <c r="B16" s="28" t="n"/>
      <c r="C16" s="168" t="n"/>
      <c r="E16" s="6" t="n">
        <v>9</v>
      </c>
      <c r="F16" s="8" t="n"/>
      <c r="G16" s="165" t="n"/>
      <c r="H16" s="158" t="n"/>
      <c r="I16" s="66" t="n"/>
      <c r="J16" s="4">
        <f>IFERROR(I16/$J$7,"")</f>
        <v/>
      </c>
      <c r="K16" s="76" t="n"/>
      <c r="L16" s="69">
        <f>K16*$J$7</f>
        <v/>
      </c>
      <c r="M16" s="42">
        <f>IFERROR(L16/I16,"")</f>
        <v/>
      </c>
    </row>
    <row r="17">
      <c r="A17" s="19" t="inlineStr">
        <is>
          <t>Abr</t>
        </is>
      </c>
      <c r="B17" s="28" t="n"/>
      <c r="C17" s="168" t="n"/>
      <c r="E17" s="6" t="n">
        <v>10</v>
      </c>
      <c r="F17" s="8" t="n"/>
      <c r="G17" s="165" t="n"/>
      <c r="H17" s="158" t="n"/>
      <c r="I17" s="66" t="n"/>
      <c r="J17" s="4">
        <f>IFERROR(I17/$J$7,"")</f>
        <v/>
      </c>
      <c r="K17" s="76" t="n"/>
      <c r="L17" s="69">
        <f>K17*$J$7</f>
        <v/>
      </c>
      <c r="M17" s="42">
        <f>IFERROR(L17/I17,"")</f>
        <v/>
      </c>
    </row>
    <row r="18">
      <c r="A18" s="19" t="inlineStr">
        <is>
          <t>Mai</t>
        </is>
      </c>
      <c r="B18" s="28" t="n"/>
      <c r="C18" s="168" t="n"/>
      <c r="E18" s="6" t="n">
        <v>11</v>
      </c>
      <c r="F18" s="8" t="n"/>
      <c r="G18" s="169" t="n"/>
      <c r="H18" s="158" t="n"/>
      <c r="I18" s="66" t="n"/>
      <c r="J18" s="4">
        <f>IFERROR(I18/$J$7,"")</f>
        <v/>
      </c>
      <c r="K18" s="76" t="n"/>
      <c r="L18" s="69">
        <f>K18*$J$7</f>
        <v/>
      </c>
      <c r="M18" s="42">
        <f>IFERROR(L18/I18,"")</f>
        <v/>
      </c>
    </row>
    <row r="19">
      <c r="A19" s="19" t="inlineStr">
        <is>
          <t>Jun</t>
        </is>
      </c>
      <c r="B19" s="28" t="n"/>
      <c r="C19" s="168" t="n"/>
      <c r="E19" s="6" t="n">
        <v>12</v>
      </c>
      <c r="F19" s="8" t="n"/>
      <c r="G19" s="169" t="n"/>
      <c r="H19" s="158" t="n"/>
      <c r="I19" s="67" t="n"/>
      <c r="J19" s="4">
        <f>IFERROR(I19/$J$7,"")</f>
        <v/>
      </c>
      <c r="K19" s="76" t="n"/>
      <c r="L19" s="69">
        <f>K19*$J$7</f>
        <v/>
      </c>
      <c r="M19" s="42">
        <f>IFERROR(L19/I19,"")</f>
        <v/>
      </c>
    </row>
    <row r="20" ht="15" customHeight="1" thickBot="1">
      <c r="A20" s="19" t="inlineStr">
        <is>
          <t>Jul</t>
        </is>
      </c>
      <c r="B20" s="28" t="n"/>
      <c r="C20" s="168" t="n"/>
      <c r="E20" s="170" t="inlineStr">
        <is>
          <t>Total</t>
        </is>
      </c>
      <c r="F20" s="171" t="n"/>
      <c r="G20" s="171" t="n"/>
      <c r="H20" s="150" t="n"/>
      <c r="I20" s="68">
        <f>SUM(I8:I19)</f>
        <v/>
      </c>
      <c r="J20" s="9">
        <f>SUM(J8:J19)</f>
        <v/>
      </c>
      <c r="K20" s="77">
        <f>SUM(K8:K19)</f>
        <v/>
      </c>
      <c r="L20" s="70">
        <f>SUM(L8:L19)</f>
        <v/>
      </c>
      <c r="M20" s="43">
        <f>IFERROR(L20/I20,"")</f>
        <v/>
      </c>
    </row>
    <row r="21">
      <c r="A21" s="19" t="inlineStr">
        <is>
          <t>Ago</t>
        </is>
      </c>
      <c r="B21" s="28" t="n"/>
      <c r="C21" s="168" t="n"/>
    </row>
    <row r="22">
      <c r="A22" s="19" t="inlineStr">
        <is>
          <t>Set</t>
        </is>
      </c>
      <c r="B22" s="28" t="n"/>
      <c r="C22" s="168" t="n"/>
    </row>
    <row r="23">
      <c r="A23" s="19" t="inlineStr">
        <is>
          <t>Out</t>
        </is>
      </c>
      <c r="B23" s="28" t="n"/>
      <c r="C23" s="168" t="n"/>
      <c r="E23" s="139" t="n"/>
      <c r="F23" s="59" t="inlineStr">
        <is>
          <t>kWh</t>
        </is>
      </c>
    </row>
    <row r="24">
      <c r="A24" s="19" t="inlineStr">
        <is>
          <t>Nov</t>
        </is>
      </c>
      <c r="B24" s="28" t="n"/>
      <c r="C24" s="168" t="n"/>
      <c r="E24" s="60" t="inlineStr">
        <is>
          <t>Geração M.</t>
        </is>
      </c>
      <c r="F24" s="57">
        <f>'UC GERADORA'!E18</f>
        <v/>
      </c>
      <c r="G24" t="inlineStr">
        <is>
          <t>(Geradora/as)</t>
        </is>
      </c>
    </row>
    <row r="25" ht="15" customHeight="1" thickBot="1">
      <c r="A25" s="20" t="inlineStr">
        <is>
          <t>Dez</t>
        </is>
      </c>
      <c r="B25" s="63" t="n"/>
      <c r="C25" s="172" t="n"/>
      <c r="E25" s="61" t="inlineStr">
        <is>
          <t>Consumo M. Real</t>
        </is>
      </c>
      <c r="F25" s="57" t="n"/>
      <c r="G25" t="inlineStr">
        <is>
          <t>(Geradora/as + Beneficiarias)</t>
        </is>
      </c>
      <c r="J25" t="inlineStr">
        <is>
          <t>S</t>
        </is>
      </c>
    </row>
    <row r="26">
      <c r="B26" s="64" t="n"/>
      <c r="E26" s="48" t="inlineStr">
        <is>
          <t>Necessidade (Ampliação)</t>
        </is>
      </c>
      <c r="F26" s="58" t="n"/>
    </row>
  </sheetData>
  <mergeCells count="25">
    <mergeCell ref="G12:H12"/>
    <mergeCell ref="B7:C7"/>
    <mergeCell ref="G11:H11"/>
    <mergeCell ref="A3:C3"/>
    <mergeCell ref="G8:H8"/>
    <mergeCell ref="G17:H17"/>
    <mergeCell ref="G7:H7"/>
    <mergeCell ref="G10:H10"/>
    <mergeCell ref="G19:H19"/>
    <mergeCell ref="M6:M7"/>
    <mergeCell ref="G6:H6"/>
    <mergeCell ref="G13:H13"/>
    <mergeCell ref="G18:H18"/>
    <mergeCell ref="E4:M5"/>
    <mergeCell ref="G15:H15"/>
    <mergeCell ref="E20:H20"/>
    <mergeCell ref="L6:L7"/>
    <mergeCell ref="G14:H14"/>
    <mergeCell ref="A11:C11"/>
    <mergeCell ref="G16:H16"/>
    <mergeCell ref="A6:C6"/>
    <mergeCell ref="C12:C25"/>
    <mergeCell ref="K6:K7"/>
    <mergeCell ref="G9:H9"/>
    <mergeCell ref="B4:C4"/>
  </mergeCells>
  <pageMargins left="0.511811024" right="0.511811024" top="0.787401575" bottom="0.787401575" header="0.31496062" footer="0.31496062"/>
  <pageSetup orientation="portrait" paperSize="9" horizontalDpi="360" verticalDpi="36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4"/>
  <sheetViews>
    <sheetView showGridLines="0" tabSelected="1" zoomScale="85" zoomScaleNormal="85" workbookViewId="0">
      <selection activeCell="J4" sqref="J4"/>
    </sheetView>
  </sheetViews>
  <sheetFormatPr baseColWidth="8" defaultRowHeight="14.4"/>
  <cols>
    <col width="11.5546875" bestFit="1" customWidth="1" style="5" min="1" max="1"/>
    <col width="13.5546875" bestFit="1" customWidth="1" min="2" max="2"/>
    <col width="11.88671875" bestFit="1" customWidth="1" min="3" max="3"/>
    <col width="12.5546875" bestFit="1" customWidth="1" min="4" max="4"/>
    <col width="16.33203125" bestFit="1" customWidth="1" min="5" max="5"/>
    <col width="2.6640625" customWidth="1" min="7" max="7"/>
    <col width="14.44140625" customWidth="1" min="8" max="8"/>
    <col width="11.33203125" customWidth="1" min="9" max="9"/>
    <col width="14.33203125" customWidth="1" min="10" max="10"/>
    <col width="11.6640625" customWidth="1" min="11" max="11"/>
    <col width="13.33203125" bestFit="1" customWidth="1" min="12" max="12"/>
    <col width="11.6640625" customWidth="1" min="13" max="13"/>
    <col width="14.5546875" bestFit="1" customWidth="1" min="14" max="14"/>
    <col width="16" bestFit="1" customWidth="1" min="15" max="15"/>
    <col width="11.5546875" customWidth="1" min="16" max="16"/>
    <col width="5" customWidth="1" min="17" max="17"/>
    <col width="15.109375" bestFit="1" customWidth="1" min="18" max="18"/>
    <col width="13.88671875" customWidth="1" min="19" max="19"/>
    <col width="15" customWidth="1" min="20" max="20"/>
  </cols>
  <sheetData>
    <row r="1">
      <c r="A1" s="125" t="n"/>
    </row>
    <row r="2">
      <c r="A2" s="129" t="inlineStr">
        <is>
          <t>UNIDADE GERADORA -</t>
        </is>
      </c>
      <c r="B2" s="173" t="n"/>
      <c r="C2" s="173" t="n"/>
      <c r="D2" s="173" t="n"/>
      <c r="E2" s="173" t="n"/>
      <c r="F2" s="173" t="n"/>
      <c r="G2" s="173" t="n"/>
      <c r="H2" s="173" t="n"/>
      <c r="I2" s="173" t="n"/>
      <c r="J2" s="173" t="n"/>
      <c r="K2" s="174">
        <f>'RESUMO '!F7</f>
        <v/>
      </c>
      <c r="L2" s="173" t="n"/>
      <c r="M2" s="173" t="n"/>
      <c r="N2" s="173" t="n"/>
      <c r="O2" s="173" t="n"/>
      <c r="P2" s="158" t="n"/>
    </row>
    <row r="3">
      <c r="A3" s="119" t="inlineStr">
        <is>
          <t>Mês de Ref.</t>
        </is>
      </c>
      <c r="B3" s="175" t="inlineStr">
        <is>
          <t>Período de leitura</t>
        </is>
      </c>
      <c r="C3" s="176" t="n"/>
      <c r="D3" s="116" t="inlineStr">
        <is>
          <t xml:space="preserve">Geração </t>
        </is>
      </c>
      <c r="E3" s="155" t="n"/>
      <c r="F3" s="177" t="n"/>
      <c r="G3" s="121" t="n"/>
      <c r="H3" s="116" t="inlineStr">
        <is>
          <t>Créditos</t>
        </is>
      </c>
      <c r="I3" s="155" t="n"/>
      <c r="J3" s="155" t="n"/>
      <c r="K3" s="155" t="n"/>
      <c r="L3" s="155" t="n"/>
      <c r="M3" s="155" t="n"/>
      <c r="N3" s="155" t="n"/>
      <c r="O3" s="155" t="n"/>
      <c r="P3" s="177" t="n"/>
    </row>
    <row r="4">
      <c r="A4" s="178" t="n"/>
      <c r="B4" s="141" t="inlineStr">
        <is>
          <t>Leitura Anterior</t>
        </is>
      </c>
      <c r="C4" s="142" t="inlineStr">
        <is>
          <t>Leitura Atual</t>
        </is>
      </c>
      <c r="D4" s="33" t="inlineStr">
        <is>
          <t>Estimativa</t>
        </is>
      </c>
      <c r="E4" s="33" t="inlineStr">
        <is>
          <t>Real (Solar View)</t>
        </is>
      </c>
      <c r="F4" s="33" t="inlineStr">
        <is>
          <t>%</t>
        </is>
      </c>
      <c r="H4" s="38" t="inlineStr">
        <is>
          <t>Consumo médio</t>
        </is>
      </c>
      <c r="I4" s="48" t="inlineStr">
        <is>
          <t>Energia GERAÇÃO</t>
        </is>
      </c>
      <c r="J4" s="48" t="inlineStr">
        <is>
          <t>ENREGIA COMPENSADA</t>
        </is>
      </c>
      <c r="K4" s="48" t="inlineStr">
        <is>
          <t>ENERGIA ATIVA</t>
        </is>
      </c>
      <c r="L4" s="38" t="inlineStr">
        <is>
          <t xml:space="preserve">Consumo Real </t>
        </is>
      </c>
      <c r="M4" s="38" t="inlineStr">
        <is>
          <t>%</t>
        </is>
      </c>
      <c r="N4" s="12" t="inlineStr">
        <is>
          <t>VALOR FATURA</t>
        </is>
      </c>
      <c r="O4" s="33" t="inlineStr">
        <is>
          <t>Mensal (Crédito)</t>
        </is>
      </c>
      <c r="P4" s="48" t="inlineStr">
        <is>
          <t>Conferência (Crédito da Fatura) (Olho em saldo na fatura GERADORA, o valor tem que bater com o "Mensal (coluna do lado)" se não tem alguma coisa errada na Equatorial ou na planilha, caso seja na Equatorial, tenho que ligar lá)</t>
        </is>
      </c>
      <c r="Q4" t="inlineStr">
        <is>
          <t>.</t>
        </is>
      </c>
      <c r="R4" s="145" t="inlineStr">
        <is>
          <t>LEITURA DO MEDIDOR</t>
        </is>
      </c>
      <c r="S4" s="173" t="n"/>
      <c r="T4" s="158" t="n"/>
    </row>
    <row r="5">
      <c r="A5" s="122" t="inlineStr">
        <is>
          <t>Jan</t>
        </is>
      </c>
      <c r="B5" s="74" t="inlineStr">
        <is>
          <t>19/12/2024</t>
        </is>
      </c>
      <c r="C5" s="74" t="inlineStr">
        <is>
          <t>18/01/2025</t>
        </is>
      </c>
      <c r="D5" s="35">
        <f>'RESUMO '!B14</f>
        <v/>
      </c>
      <c r="E5" s="28" t="n"/>
      <c r="F5" s="34">
        <f>IFERROR(E5/D5-1,"")</f>
        <v/>
      </c>
      <c r="H5" s="179">
        <f>'RESUMO '!I7</f>
        <v/>
      </c>
      <c r="I5" s="28" t="n">
        <v>226</v>
      </c>
      <c r="J5" s="28" t="n">
        <v>436</v>
      </c>
      <c r="K5" s="28" t="n">
        <v>211</v>
      </c>
      <c r="L5" s="73">
        <f>(K5+(E5-I5))</f>
        <v/>
      </c>
      <c r="M5" s="44">
        <f>IFERROR(L5/$H$5,"")</f>
        <v/>
      </c>
      <c r="N5" s="180" t="n">
        <v>27.39</v>
      </c>
      <c r="O5" s="35" t="n">
        <v>181</v>
      </c>
      <c r="P5" s="28" t="n">
        <v>0</v>
      </c>
      <c r="R5" s="146" t="inlineStr">
        <is>
          <t>12378019-5</t>
        </is>
      </c>
      <c r="S5" s="146" t="n">
        <v>16289</v>
      </c>
      <c r="T5" s="146" t="n">
        <v>16500</v>
      </c>
    </row>
    <row r="6">
      <c r="A6" s="122" t="inlineStr">
        <is>
          <t>Fev</t>
        </is>
      </c>
      <c r="B6" s="55" t="inlineStr">
        <is>
          <t>18/01/2025</t>
        </is>
      </c>
      <c r="C6" s="74" t="inlineStr">
        <is>
          <t>17/02/2025</t>
        </is>
      </c>
      <c r="D6" s="35">
        <f>'RESUMO '!B15</f>
        <v/>
      </c>
      <c r="E6" s="28" t="n"/>
      <c r="F6" s="34">
        <f>IFERROR(E6/D6-1,"")</f>
        <v/>
      </c>
      <c r="H6" s="181" t="n"/>
      <c r="I6" s="28" t="n">
        <v>273</v>
      </c>
      <c r="J6" s="28" t="n"/>
      <c r="K6" s="28" t="n">
        <v>190</v>
      </c>
      <c r="L6" s="73">
        <f>(K6+(E6-I6))</f>
        <v/>
      </c>
      <c r="M6" s="44">
        <f>IFERROR(L6/$H$5,"")</f>
        <v/>
      </c>
      <c r="N6" s="180" t="n">
        <v>34.19</v>
      </c>
      <c r="O6" s="35" t="n">
        <v>160</v>
      </c>
      <c r="P6" s="28" t="n"/>
      <c r="R6" s="140" t="inlineStr">
        <is>
          <t>12378019-5</t>
        </is>
      </c>
      <c r="S6" s="140" t="n">
        <v>16500</v>
      </c>
      <c r="T6" s="140" t="n">
        <v>16690</v>
      </c>
    </row>
    <row r="7">
      <c r="A7" s="122" t="inlineStr">
        <is>
          <t>Mar</t>
        </is>
      </c>
      <c r="B7" s="55" t="inlineStr">
        <is>
          <t>17/02/2025</t>
        </is>
      </c>
      <c r="C7" s="74" t="inlineStr">
        <is>
          <t>19/03/2025</t>
        </is>
      </c>
      <c r="D7" s="35">
        <f>'RESUMO '!B16</f>
        <v/>
      </c>
      <c r="E7" s="28" t="n"/>
      <c r="F7" s="34">
        <f>IFERROR(E7/D7-1,"")</f>
        <v/>
      </c>
      <c r="H7" s="181" t="n"/>
      <c r="I7" s="28" t="n">
        <v>204</v>
      </c>
      <c r="J7" s="28" t="n"/>
      <c r="K7" s="28" t="n">
        <v>312</v>
      </c>
      <c r="L7" s="73">
        <f>(K7+(E7-I7))</f>
        <v/>
      </c>
      <c r="M7" s="44">
        <f>IFERROR(L7/$H$5,"")</f>
        <v/>
      </c>
      <c r="N7" s="180" t="n">
        <v>52.61</v>
      </c>
      <c r="O7" s="35" t="n">
        <v>282</v>
      </c>
      <c r="P7" s="28" t="n"/>
      <c r="R7" s="140" t="inlineStr">
        <is>
          <t>12378019-5</t>
        </is>
      </c>
      <c r="S7" s="140" t="n">
        <v>16690</v>
      </c>
      <c r="T7" s="140" t="n">
        <v>17002</v>
      </c>
    </row>
    <row r="8">
      <c r="A8" s="122" t="inlineStr">
        <is>
          <t>Abr</t>
        </is>
      </c>
      <c r="B8" s="55" t="inlineStr">
        <is>
          <t>19/03/2025</t>
        </is>
      </c>
      <c r="C8" s="74" t="inlineStr">
        <is>
          <t>16/04/2025</t>
        </is>
      </c>
      <c r="D8" s="35">
        <f>'RESUMO '!B17</f>
        <v/>
      </c>
      <c r="E8" s="28" t="n"/>
      <c r="F8" s="34">
        <f>IFERROR(E8/D8-1,"")</f>
        <v/>
      </c>
      <c r="H8" s="181" t="n"/>
      <c r="I8" s="28" t="n">
        <v>155</v>
      </c>
      <c r="J8" s="28" t="n"/>
      <c r="K8" s="28" t="n">
        <v>209</v>
      </c>
      <c r="L8" s="73">
        <f>(K8+(E8-I8))</f>
        <v/>
      </c>
      <c r="M8" s="44">
        <f>IFERROR(L8/$H$5,"")</f>
        <v/>
      </c>
      <c r="N8" s="180" t="n">
        <v>44.52</v>
      </c>
      <c r="O8" s="35" t="n">
        <v>179</v>
      </c>
      <c r="P8" s="28" t="n"/>
      <c r="R8" s="140" t="inlineStr">
        <is>
          <t>12378019-5</t>
        </is>
      </c>
      <c r="S8" s="140" t="n">
        <v>17002</v>
      </c>
      <c r="T8" s="140" t="n">
        <v>17211</v>
      </c>
    </row>
    <row r="9">
      <c r="A9" s="122" t="inlineStr">
        <is>
          <t>Mai</t>
        </is>
      </c>
      <c r="B9" s="55" t="inlineStr">
        <is>
          <t>16/04/2025</t>
        </is>
      </c>
      <c r="C9" s="74" t="inlineStr">
        <is>
          <t>15/05/2025</t>
        </is>
      </c>
      <c r="D9" s="35">
        <f>'RESUMO '!B18</f>
        <v/>
      </c>
      <c r="E9" s="28" t="n"/>
      <c r="F9" s="34">
        <f>IFERROR(E9/D9-1,"")</f>
        <v/>
      </c>
      <c r="H9" s="181" t="n"/>
      <c r="I9" s="28" t="n">
        <v>159</v>
      </c>
      <c r="J9" s="28" t="n"/>
      <c r="K9" s="28" t="n">
        <v>194</v>
      </c>
      <c r="L9" s="73">
        <f>(K9+(E9-I9))</f>
        <v/>
      </c>
      <c r="M9" s="44">
        <f>IFERROR(L9/$H$5,"")</f>
        <v/>
      </c>
      <c r="N9" s="180" t="n">
        <v>44.77</v>
      </c>
      <c r="O9" s="35" t="n">
        <v>164</v>
      </c>
      <c r="P9" s="28" t="n"/>
      <c r="R9" s="140" t="inlineStr">
        <is>
          <t>12378019-5</t>
        </is>
      </c>
      <c r="S9" s="140" t="n">
        <v>17211</v>
      </c>
      <c r="T9" s="140" t="n">
        <v>17405</v>
      </c>
    </row>
    <row r="10">
      <c r="A10" s="122" t="inlineStr">
        <is>
          <t>Jun</t>
        </is>
      </c>
      <c r="B10" s="55" t="inlineStr">
        <is>
          <t>15/05/2025</t>
        </is>
      </c>
      <c r="C10" s="74" t="inlineStr">
        <is>
          <t>16/06/2025</t>
        </is>
      </c>
      <c r="D10" s="35">
        <f>'RESUMO '!B19</f>
        <v/>
      </c>
      <c r="E10" s="28" t="n"/>
      <c r="F10" s="34">
        <f>IFERROR(E10/D10-1,"")</f>
        <v/>
      </c>
      <c r="H10" s="181" t="n"/>
      <c r="I10" s="28" t="n">
        <v>154</v>
      </c>
      <c r="J10" s="28" t="n"/>
      <c r="K10" s="28" t="n">
        <v>211</v>
      </c>
      <c r="L10" s="73">
        <f>(K10+(E10-I10))</f>
        <v/>
      </c>
      <c r="M10" s="44">
        <f>IFERROR(L10/$H$5,"")</f>
        <v/>
      </c>
      <c r="N10" s="180" t="n">
        <v>48.03</v>
      </c>
      <c r="O10" s="35" t="n">
        <v>181</v>
      </c>
      <c r="P10" s="28" t="n"/>
      <c r="R10" s="140" t="inlineStr">
        <is>
          <t>12378019-5</t>
        </is>
      </c>
      <c r="S10" s="140" t="n">
        <v>17405</v>
      </c>
      <c r="T10" s="140" t="n">
        <v>17616</v>
      </c>
    </row>
    <row r="11">
      <c r="A11" s="122" t="inlineStr">
        <is>
          <t>Jul</t>
        </is>
      </c>
      <c r="B11" s="55" t="inlineStr">
        <is>
          <t>16/06/2025</t>
        </is>
      </c>
      <c r="C11" s="74" t="inlineStr">
        <is>
          <t>18/07/2025</t>
        </is>
      </c>
      <c r="D11" s="35">
        <f>'RESUMO '!B20</f>
        <v/>
      </c>
      <c r="E11" s="28" t="n"/>
      <c r="F11" s="34">
        <f>IFERROR(E11/D11-1,"")</f>
        <v/>
      </c>
      <c r="H11" s="181" t="n"/>
      <c r="I11" s="28" t="n">
        <v>252</v>
      </c>
      <c r="J11" s="28" t="n"/>
      <c r="K11" s="28" t="n">
        <v>149</v>
      </c>
      <c r="L11" s="73">
        <f>(K11+(E11-I11))</f>
        <v/>
      </c>
      <c r="M11" s="44">
        <f>IFERROR(L11/$H$5,"")</f>
        <v/>
      </c>
      <c r="N11" s="180" t="n">
        <v>42.91</v>
      </c>
      <c r="O11" s="35" t="n">
        <v>119</v>
      </c>
      <c r="P11" s="28" t="n"/>
      <c r="R11" s="140" t="inlineStr">
        <is>
          <t>12378019-5</t>
        </is>
      </c>
      <c r="S11" s="140" t="n">
        <v>17616</v>
      </c>
      <c r="T11" s="140" t="n">
        <v>17765</v>
      </c>
    </row>
    <row r="12">
      <c r="A12" s="122" t="inlineStr">
        <is>
          <t>Ago</t>
        </is>
      </c>
      <c r="B12" s="55" t="inlineStr">
        <is>
          <t>18/07/2025</t>
        </is>
      </c>
      <c r="C12" s="74" t="inlineStr">
        <is>
          <t>18/08/2025</t>
        </is>
      </c>
      <c r="D12" s="35">
        <f>'RESUMO '!B21</f>
        <v/>
      </c>
      <c r="E12" s="28" t="n"/>
      <c r="F12" s="34">
        <f>IFERROR(E12/D12-1,"")</f>
        <v/>
      </c>
      <c r="H12" s="181" t="n"/>
      <c r="I12" s="28" t="n">
        <v>147</v>
      </c>
      <c r="J12" s="28" t="n"/>
      <c r="K12" s="28" t="n">
        <v>398</v>
      </c>
      <c r="L12" s="73">
        <f>(K12+(E12-I12))</f>
        <v/>
      </c>
      <c r="M12" s="44">
        <f>IFERROR(L12/$H$5,"")</f>
        <v/>
      </c>
      <c r="N12" s="180" t="n">
        <v>46.33</v>
      </c>
      <c r="O12" s="35" t="n">
        <v>368</v>
      </c>
      <c r="P12" s="28" t="n"/>
      <c r="R12" s="140" t="inlineStr">
        <is>
          <t>12378019-5</t>
        </is>
      </c>
      <c r="S12" s="140" t="n">
        <v>17765</v>
      </c>
      <c r="T12" s="140" t="n">
        <v>18163</v>
      </c>
    </row>
    <row r="13">
      <c r="A13" s="122" t="inlineStr">
        <is>
          <t>Set</t>
        </is>
      </c>
      <c r="B13" s="55" t="inlineStr">
        <is>
          <t>18/08/2025</t>
        </is>
      </c>
      <c r="C13" s="74" t="inlineStr">
        <is>
          <t>16/09/2025</t>
        </is>
      </c>
      <c r="D13" s="35">
        <f>'RESUMO '!B22</f>
        <v/>
      </c>
      <c r="E13" s="28" t="n"/>
      <c r="F13" s="34">
        <f>IFERROR(E13/D13-1,"")</f>
        <v/>
      </c>
      <c r="H13" s="181" t="n"/>
      <c r="I13" s="28" t="n">
        <v>83</v>
      </c>
      <c r="J13" s="28" t="n"/>
      <c r="K13" s="28" t="n">
        <v>541</v>
      </c>
      <c r="L13" s="73">
        <f>(K13+(E13-I13))</f>
        <v/>
      </c>
      <c r="M13" s="44">
        <f>IFERROR(L13/$H$5,"")</f>
        <v/>
      </c>
      <c r="N13" s="180" t="n">
        <v>76.59</v>
      </c>
      <c r="O13" s="35" t="n">
        <v>511</v>
      </c>
      <c r="P13" s="28" t="n"/>
      <c r="R13" s="140" t="inlineStr">
        <is>
          <t>12378019-5</t>
        </is>
      </c>
      <c r="S13" s="140" t="n">
        <v>18163</v>
      </c>
      <c r="T13" s="140" t="n">
        <v>18704</v>
      </c>
    </row>
    <row r="14">
      <c r="A14" s="122" t="inlineStr">
        <is>
          <t>Out</t>
        </is>
      </c>
      <c r="B14" s="55" t="inlineStr">
        <is>
          <t>16/09/2025</t>
        </is>
      </c>
      <c r="C14" s="74" t="inlineStr">
        <is>
          <t>16/10/2025</t>
        </is>
      </c>
      <c r="D14" s="35">
        <f>'RESUMO '!B23</f>
        <v/>
      </c>
      <c r="E14" s="71" t="n"/>
      <c r="F14" s="34">
        <f>IFERROR(E14/D14-1,"")</f>
        <v/>
      </c>
      <c r="H14" s="181" t="n"/>
      <c r="I14" s="28" t="n">
        <v>88</v>
      </c>
      <c r="J14" s="28" t="n"/>
      <c r="K14" s="28" t="n">
        <v>648</v>
      </c>
      <c r="L14" s="73">
        <f>(K14+(E14-I14))</f>
        <v/>
      </c>
      <c r="M14" s="44">
        <f>IFERROR(L14/$H$5,"")</f>
        <v/>
      </c>
      <c r="N14" s="180" t="n">
        <v>85.04000000000001</v>
      </c>
      <c r="O14" s="35" t="n">
        <v>618</v>
      </c>
      <c r="P14" s="28" t="n"/>
      <c r="R14" s="140" t="inlineStr">
        <is>
          <t>12378019-5</t>
        </is>
      </c>
      <c r="S14" s="140" t="n">
        <v>18704</v>
      </c>
      <c r="T14" s="140" t="n">
        <v>19352</v>
      </c>
    </row>
    <row r="15">
      <c r="A15" s="122" t="inlineStr">
        <is>
          <t>Nov</t>
        </is>
      </c>
      <c r="B15" s="55" t="inlineStr">
        <is>
          <t>16/10/2025</t>
        </is>
      </c>
      <c r="C15" s="74" t="inlineStr">
        <is>
          <t>18/11/2025</t>
        </is>
      </c>
      <c r="D15" s="35">
        <f>'RESUMO '!B24</f>
        <v/>
      </c>
      <c r="E15" s="28" t="n"/>
      <c r="F15" s="34">
        <f>IFERROR(E15/D15-1,"")</f>
        <v/>
      </c>
      <c r="H15" s="181" t="n"/>
      <c r="I15" s="28" t="n">
        <v>112</v>
      </c>
      <c r="J15" s="28" t="n"/>
      <c r="K15" s="28" t="n">
        <v>618</v>
      </c>
      <c r="L15" s="73">
        <f>(K15+(E15-I15))</f>
        <v/>
      </c>
      <c r="M15" s="44">
        <f>IFERROR(L15/$H$5,"")</f>
        <v/>
      </c>
      <c r="N15" s="180" t="n">
        <v>248.92</v>
      </c>
      <c r="O15" s="35" t="n">
        <v>463</v>
      </c>
      <c r="P15" s="28" t="n"/>
      <c r="R15" s="140" t="inlineStr">
        <is>
          <t>12378019-5</t>
        </is>
      </c>
      <c r="S15" s="140" t="n">
        <v>19352</v>
      </c>
      <c r="T15" s="140" t="n">
        <v>19970</v>
      </c>
    </row>
    <row r="16">
      <c r="A16" s="122" t="inlineStr">
        <is>
          <t>Dez</t>
        </is>
      </c>
      <c r="B16" s="55" t="inlineStr">
        <is>
          <t>18/11/2025</t>
        </is>
      </c>
      <c r="C16" s="74" t="inlineStr">
        <is>
          <t>18/12/2025</t>
        </is>
      </c>
      <c r="D16" s="35">
        <f>'RESUMO '!B25</f>
        <v/>
      </c>
      <c r="E16" s="28" t="n"/>
      <c r="F16" s="34">
        <f>IFERROR(E16/D16-1,"")</f>
        <v/>
      </c>
      <c r="H16" s="163" t="n"/>
      <c r="I16" s="28" t="n">
        <v>132</v>
      </c>
      <c r="J16" s="28" t="n">
        <v>0</v>
      </c>
      <c r="K16" s="28" t="n">
        <v>513</v>
      </c>
      <c r="L16" s="73">
        <f>(K16+(E16-I16))</f>
        <v/>
      </c>
      <c r="M16" s="44">
        <f>IFERROR(L16/$H$5,"")</f>
        <v/>
      </c>
      <c r="N16" s="180" t="n">
        <v>511.7</v>
      </c>
      <c r="O16" s="35" t="n">
        <v>132</v>
      </c>
      <c r="P16" s="28" t="n">
        <v>0</v>
      </c>
      <c r="R16" s="140" t="inlineStr">
        <is>
          <t>12378019-5</t>
        </is>
      </c>
      <c r="S16" s="140" t="n">
        <v>19970</v>
      </c>
      <c r="T16" s="140" t="n">
        <v>20483</v>
      </c>
    </row>
    <row r="17">
      <c r="A17" s="32" t="inlineStr">
        <is>
          <t>∑</t>
        </is>
      </c>
      <c r="B17" s="122" t="inlineStr">
        <is>
          <t xml:space="preserve">TOTAL </t>
        </is>
      </c>
      <c r="C17" s="158" t="n"/>
      <c r="D17" s="35">
        <f>SUM(D5:D16)</f>
        <v/>
      </c>
      <c r="E17" s="35">
        <f>SUM(E5:E16)</f>
        <v/>
      </c>
      <c r="F17" s="34">
        <f>IFERROR(E17/D17-1,"")</f>
        <v/>
      </c>
      <c r="H17" s="45">
        <f>H5*12</f>
        <v/>
      </c>
      <c r="I17" s="35">
        <f>IFERROR(AVERAGE(I5:I16),"")</f>
        <v/>
      </c>
      <c r="J17" s="35">
        <f>IFERROR(AVERAGE(J5:J16),"")</f>
        <v/>
      </c>
      <c r="K17" s="35">
        <f>IFERROR(AVERAGE(K5:K16),"")</f>
        <v/>
      </c>
      <c r="L17" s="35">
        <f>SUM(L5:L16)</f>
        <v/>
      </c>
      <c r="M17" s="44">
        <f>IFERROR(L17/$H$5,"")</f>
        <v/>
      </c>
      <c r="N17" s="31">
        <f>SUM(N5:N16)</f>
        <v/>
      </c>
      <c r="O17" s="35">
        <f>SUM(O5:O16)</f>
        <v/>
      </c>
      <c r="P17" s="35">
        <f>SUM(P5:P16)</f>
        <v/>
      </c>
      <c r="R17" s="140" t="n"/>
      <c r="S17" s="140" t="n"/>
      <c r="T17" s="140" t="n"/>
    </row>
    <row r="18">
      <c r="D18" s="122" t="inlineStr">
        <is>
          <t>Média =</t>
        </is>
      </c>
      <c r="E18" s="72">
        <f>AVERAGE(E5:E16)</f>
        <v/>
      </c>
    </row>
    <row r="19">
      <c r="A19" s="115" t="inlineStr">
        <is>
          <t>LEGENDA</t>
        </is>
      </c>
      <c r="B19" s="173" t="n"/>
      <c r="C19" s="158" t="n"/>
      <c r="H19" s="124" t="inlineStr">
        <is>
          <t>Obs:. Para Calcular a média de consumo real utilize a forumula -&gt;</t>
        </is>
      </c>
      <c r="L19">
        <f>AVERAGEIF(L5:L16, "&lt;&gt;0")</f>
        <v/>
      </c>
    </row>
    <row r="20">
      <c r="A20" s="2" t="inlineStr">
        <is>
          <t>AMARELO</t>
        </is>
      </c>
      <c r="B20" s="21" t="inlineStr">
        <is>
          <t>PREENCHER</t>
        </is>
      </c>
      <c r="C20" s="21" t="n"/>
      <c r="I20" s="123" t="n"/>
    </row>
    <row r="21">
      <c r="A21" s="17" t="inlineStr">
        <is>
          <t>CINZA</t>
        </is>
      </c>
      <c r="B21" s="22" t="inlineStr">
        <is>
          <t>AUTOMÁTICO</t>
        </is>
      </c>
      <c r="C21" s="22" t="n"/>
    </row>
    <row r="22">
      <c r="A22" s="36" t="inlineStr">
        <is>
          <t>LARANJA</t>
        </is>
      </c>
      <c r="B22" s="182" t="inlineStr">
        <is>
          <t>COBRAR</t>
        </is>
      </c>
      <c r="C22" s="158" t="n"/>
    </row>
    <row r="40">
      <c r="A40" s="54" t="n"/>
    </row>
    <row r="94">
      <c r="O94" s="1" t="n"/>
    </row>
  </sheetData>
  <mergeCells count="15">
    <mergeCell ref="K2:P2"/>
    <mergeCell ref="H5:H16"/>
    <mergeCell ref="A19:C19"/>
    <mergeCell ref="G3:G17"/>
    <mergeCell ref="B3:C3"/>
    <mergeCell ref="A3:A4"/>
    <mergeCell ref="R4:T4"/>
    <mergeCell ref="A1:O1"/>
    <mergeCell ref="B22:C22"/>
    <mergeCell ref="D3:F3"/>
    <mergeCell ref="A2:J2"/>
    <mergeCell ref="I20:K20"/>
    <mergeCell ref="H3:P3"/>
    <mergeCell ref="B17:C17"/>
    <mergeCell ref="H19:K19"/>
  </mergeCells>
  <pageMargins left="0.511811024" right="0.511811024" top="0.787401575" bottom="0.787401575" header="0.31496062" footer="0.31496062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7"/>
  <sheetViews>
    <sheetView showGridLines="0" zoomScale="70" zoomScaleNormal="70" workbookViewId="0">
      <selection activeCell="S3" sqref="S3:U4"/>
    </sheetView>
  </sheetViews>
  <sheetFormatPr baseColWidth="8" defaultRowHeight="14.4"/>
  <cols>
    <col width="11.5546875" bestFit="1" customWidth="1" min="1" max="1"/>
    <col width="17.77734375" customWidth="1" min="2" max="2"/>
    <col width="18" customWidth="1" min="3" max="3"/>
    <col width="2.6640625" customWidth="1" min="4" max="4"/>
    <col width="14.6640625" customWidth="1" min="5" max="5"/>
    <col width="22.109375" customWidth="1" min="6" max="6"/>
    <col width="9.88671875" customWidth="1" min="7" max="7"/>
    <col width="24.109375" customWidth="1" min="8" max="8"/>
    <col width="7.88671875" bestFit="1" customWidth="1" min="9" max="9"/>
    <col width="14.5546875" bestFit="1" customWidth="1" min="10" max="10"/>
    <col width="14.5546875" customWidth="1" min="11" max="11"/>
    <col width="2.6640625" customWidth="1" min="12" max="12"/>
    <col width="9.44140625" customWidth="1" min="13" max="13"/>
    <col width="20.6640625" bestFit="1" customWidth="1" min="14" max="14"/>
    <col width="12.5546875" bestFit="1" customWidth="1" min="15" max="15"/>
    <col width="11" bestFit="1" customWidth="1" min="16" max="16"/>
    <col width="11" customWidth="1" min="17" max="17"/>
    <col width="2" customWidth="1" min="18" max="18"/>
    <col width="23.33203125" customWidth="1" min="19" max="19"/>
    <col width="21.44140625" customWidth="1" min="20" max="20"/>
    <col width="19.6640625" customWidth="1" min="21" max="21"/>
  </cols>
  <sheetData>
    <row r="1">
      <c r="A1" s="125" t="n"/>
      <c r="Q1" s="125" t="n"/>
    </row>
    <row r="2">
      <c r="A2" s="129" t="inlineStr">
        <is>
          <t>UNIDADE CONSUMIDORA -</t>
        </is>
      </c>
      <c r="B2" s="173" t="n"/>
      <c r="C2" s="173" t="n"/>
      <c r="D2" s="173" t="n"/>
      <c r="E2" s="173" t="n"/>
      <c r="F2" s="173" t="n"/>
      <c r="G2" s="173" t="n"/>
      <c r="H2" s="173" t="n"/>
      <c r="I2" s="173" t="n"/>
      <c r="J2" s="174">
        <f>'RESUMO '!F8</f>
        <v/>
      </c>
      <c r="K2" s="173" t="n"/>
      <c r="L2" s="173" t="n"/>
      <c r="M2" s="173" t="n"/>
      <c r="N2" s="173" t="n"/>
      <c r="O2" s="173" t="n"/>
      <c r="P2" s="173" t="n"/>
      <c r="Q2" s="158" t="n"/>
    </row>
    <row r="3" ht="14.4" customHeight="1">
      <c r="A3" s="119" t="inlineStr">
        <is>
          <t>Mês de Ref.</t>
        </is>
      </c>
      <c r="B3" s="175" t="inlineStr">
        <is>
          <t>Período de leitura</t>
        </is>
      </c>
      <c r="C3" s="176" t="n"/>
      <c r="D3" s="138" t="n"/>
      <c r="E3" s="134" t="inlineStr">
        <is>
          <t>COMPENSAÇÃO DE ENERGIA</t>
        </is>
      </c>
      <c r="F3" s="173" t="n"/>
      <c r="G3" s="173" t="n"/>
      <c r="H3" s="173" t="n"/>
      <c r="I3" s="173" t="n"/>
      <c r="J3" s="173" t="n"/>
      <c r="K3" s="46" t="n"/>
      <c r="L3" s="139" t="n"/>
      <c r="M3" s="116" t="inlineStr">
        <is>
          <t>Créditos</t>
        </is>
      </c>
      <c r="N3" s="155" t="n"/>
      <c r="O3" s="155" t="n"/>
      <c r="P3" s="155" t="n"/>
      <c r="Q3" s="177" t="n"/>
      <c r="S3" s="145" t="inlineStr">
        <is>
          <t>LEITURA DO MEDIDOR</t>
        </is>
      </c>
      <c r="T3" s="173" t="n"/>
      <c r="U3" s="158" t="n"/>
    </row>
    <row r="4">
      <c r="A4" s="178" t="n"/>
      <c r="B4" s="141" t="inlineStr">
        <is>
          <t>Leitura Anterior</t>
        </is>
      </c>
      <c r="C4" s="142" t="inlineStr">
        <is>
          <t>Leitura Atual</t>
        </is>
      </c>
      <c r="E4" s="49" t="inlineStr">
        <is>
          <t>Consumo médio (O consumo médio que foi feito no dia do rateio)</t>
        </is>
      </c>
      <c r="F4" s="48" t="inlineStr">
        <is>
          <t>E. Fornecida (CONSUMO) (Consumo do cliente, se for grupo "A" soma o FP, HR e P em Energia Ativa Fornecida, em descrição do faturamento)</t>
        </is>
      </c>
      <c r="G4" s="38" t="inlineStr">
        <is>
          <t xml:space="preserve">% </t>
        </is>
      </c>
      <c r="H4" s="48" t="inlineStr">
        <is>
          <t>E. Injetada (COMPENSADA) (Energia injetada do cliente, se for grupo "A" soma o FP, HR e P em Energia Injetada, em descrição do faturamento)</t>
        </is>
      </c>
      <c r="I4" s="24" t="inlineStr">
        <is>
          <t>%</t>
        </is>
      </c>
      <c r="J4" s="12" t="inlineStr">
        <is>
          <t>VALOR FATURA</t>
        </is>
      </c>
      <c r="K4" s="15" t="inlineStr">
        <is>
          <t xml:space="preserve">BALANÇO </t>
        </is>
      </c>
      <c r="M4" s="26" t="inlineStr">
        <is>
          <t>% Rateio</t>
        </is>
      </c>
      <c r="N4" s="26" t="inlineStr">
        <is>
          <t>Crédito a ser recebido</t>
        </is>
      </c>
      <c r="O4" s="26" t="inlineStr">
        <is>
          <t>Compensado</t>
        </is>
      </c>
      <c r="P4" s="26" t="inlineStr">
        <is>
          <t>Acumulado</t>
        </is>
      </c>
      <c r="Q4" s="12" t="inlineStr">
        <is>
          <t>Conferência</t>
        </is>
      </c>
      <c r="R4" t="inlineStr">
        <is>
          <t>.</t>
        </is>
      </c>
      <c r="S4" s="146" t="inlineStr">
        <is>
          <t>NÚMERO DO MEDIDOR</t>
        </is>
      </c>
      <c r="T4" s="146" t="inlineStr">
        <is>
          <t>LEITURA ANTERIOR</t>
        </is>
      </c>
      <c r="U4" s="146" t="inlineStr">
        <is>
          <t>LEITURA ATUAL</t>
        </is>
      </c>
    </row>
    <row r="5" ht="15" customHeight="1">
      <c r="A5" s="122" t="inlineStr">
        <is>
          <t>Jan</t>
        </is>
      </c>
      <c r="B5" s="74" t="n"/>
      <c r="C5" s="74" t="n"/>
      <c r="E5" s="183">
        <f>'RESUMO '!I8</f>
        <v/>
      </c>
      <c r="F5" s="27" t="n"/>
      <c r="G5" s="44">
        <f>IFERROR(F5/$E$5,"")</f>
        <v/>
      </c>
      <c r="H5" s="27" t="n"/>
      <c r="I5" s="37">
        <f>IFERROR(H5/F5,"")</f>
        <v/>
      </c>
      <c r="J5" s="180" t="n"/>
      <c r="K5" s="47">
        <f>H5-F5</f>
        <v/>
      </c>
      <c r="M5" s="37">
        <f>'RESUMO '!$K$8</f>
        <v/>
      </c>
      <c r="N5" s="24">
        <f>M5*'UC GERADORA'!O5</f>
        <v/>
      </c>
      <c r="O5" s="25">
        <f>H5</f>
        <v/>
      </c>
      <c r="P5" s="25">
        <f>(N5-O5)</f>
        <v/>
      </c>
      <c r="Q5" s="27" t="n"/>
      <c r="S5" s="140" t="n"/>
      <c r="T5" s="140" t="n"/>
      <c r="U5" s="140" t="n"/>
    </row>
    <row r="6">
      <c r="A6" s="122" t="inlineStr">
        <is>
          <t>Fev</t>
        </is>
      </c>
      <c r="B6" s="55" t="n"/>
      <c r="C6" s="74" t="n"/>
      <c r="E6" s="181" t="n"/>
      <c r="F6" s="27" t="n"/>
      <c r="G6" s="44">
        <f>IFERROR(F6/$E$5,"")</f>
        <v/>
      </c>
      <c r="H6" s="27" t="n"/>
      <c r="I6" s="37">
        <f>IFERROR(H6/F6,"")</f>
        <v/>
      </c>
      <c r="J6" s="180" t="n"/>
      <c r="K6" s="47">
        <f>H6-F6</f>
        <v/>
      </c>
      <c r="M6" s="37">
        <f>'RESUMO '!$K$8</f>
        <v/>
      </c>
      <c r="N6" s="24">
        <f>M6*'UC GERADORA'!O6</f>
        <v/>
      </c>
      <c r="O6" s="25">
        <f>H6</f>
        <v/>
      </c>
      <c r="P6" s="25">
        <f>IF(P5&lt;=0,(N6-O6),P5+(N6-O6))</f>
        <v/>
      </c>
      <c r="Q6" s="28" t="n"/>
      <c r="S6" s="140" t="n"/>
      <c r="T6" s="140" t="n"/>
      <c r="U6" s="140" t="n"/>
    </row>
    <row r="7">
      <c r="A7" s="122" t="inlineStr">
        <is>
          <t>Mar</t>
        </is>
      </c>
      <c r="B7" s="55" t="n"/>
      <c r="C7" s="74" t="n"/>
      <c r="E7" s="181" t="n"/>
      <c r="F7" s="27" t="n"/>
      <c r="G7" s="44">
        <f>IFERROR(F7/$E$5,"")</f>
        <v/>
      </c>
      <c r="H7" s="27" t="n"/>
      <c r="I7" s="37">
        <f>IFERROR(H7/F7,"")</f>
        <v/>
      </c>
      <c r="J7" s="180" t="n"/>
      <c r="K7" s="47">
        <f>H7-F7</f>
        <v/>
      </c>
      <c r="M7" s="37">
        <f>'RESUMO '!$K$8</f>
        <v/>
      </c>
      <c r="N7" s="24">
        <f>M7*'UC GERADORA'!O7</f>
        <v/>
      </c>
      <c r="O7" s="25">
        <f>H7</f>
        <v/>
      </c>
      <c r="P7" s="25">
        <f>IF(P6&lt;=0,(N7-O7),P6+(N7-O7))</f>
        <v/>
      </c>
      <c r="Q7" s="28" t="n"/>
      <c r="S7" s="140" t="n"/>
      <c r="T7" s="140" t="n"/>
      <c r="U7" s="140" t="n"/>
    </row>
    <row r="8">
      <c r="A8" s="122" t="inlineStr">
        <is>
          <t>Abr</t>
        </is>
      </c>
      <c r="B8" s="55" t="n"/>
      <c r="C8" s="74" t="n"/>
      <c r="E8" s="181" t="n"/>
      <c r="F8" s="27" t="n"/>
      <c r="G8" s="44">
        <f>IFERROR(F8/$E$5,"")</f>
        <v/>
      </c>
      <c r="H8" s="27" t="n"/>
      <c r="I8" s="37">
        <f>IFERROR(H8/F8,"")</f>
        <v/>
      </c>
      <c r="J8" s="180" t="n"/>
      <c r="K8" s="47">
        <f>H8-F8</f>
        <v/>
      </c>
      <c r="M8" s="37">
        <f>'RESUMO '!$K$8</f>
        <v/>
      </c>
      <c r="N8" s="24">
        <f>M8*'UC GERADORA'!O8</f>
        <v/>
      </c>
      <c r="O8" s="25">
        <f>H8</f>
        <v/>
      </c>
      <c r="P8" s="25">
        <f>IF(P7&lt;=0,(N8-O8),P7+(N8-O8))</f>
        <v/>
      </c>
      <c r="Q8" s="28" t="n"/>
      <c r="S8" s="140" t="n"/>
      <c r="T8" s="140" t="n"/>
      <c r="U8" s="140" t="n"/>
    </row>
    <row r="9">
      <c r="A9" s="122" t="inlineStr">
        <is>
          <t>Mai</t>
        </is>
      </c>
      <c r="B9" s="55" t="n"/>
      <c r="C9" s="74" t="n"/>
      <c r="E9" s="181" t="n"/>
      <c r="F9" s="27" t="n"/>
      <c r="G9" s="44">
        <f>IFERROR(F9/$E$5,"")</f>
        <v/>
      </c>
      <c r="H9" s="27" t="n"/>
      <c r="I9" s="37">
        <f>IFERROR(H9/F9,"")</f>
        <v/>
      </c>
      <c r="J9" s="180" t="n"/>
      <c r="K9" s="47">
        <f>H9-F9</f>
        <v/>
      </c>
      <c r="M9" s="37">
        <f>'RESUMO '!$K$8</f>
        <v/>
      </c>
      <c r="N9" s="24">
        <f>M9*'UC GERADORA'!O9</f>
        <v/>
      </c>
      <c r="O9" s="25">
        <f>H9</f>
        <v/>
      </c>
      <c r="P9" s="25">
        <f>IF(P8&lt;=0,(N9-O9),P8+(N9-O9))</f>
        <v/>
      </c>
      <c r="Q9" s="28" t="n"/>
      <c r="S9" s="140" t="n"/>
      <c r="T9" s="140" t="n"/>
      <c r="U9" s="140" t="n"/>
    </row>
    <row r="10">
      <c r="A10" s="122" t="inlineStr">
        <is>
          <t>Jun</t>
        </is>
      </c>
      <c r="B10" s="55" t="n"/>
      <c r="C10" s="74" t="n"/>
      <c r="E10" s="181" t="n"/>
      <c r="F10" s="27" t="n"/>
      <c r="G10" s="44">
        <f>IFERROR(F10/$E$5,"")</f>
        <v/>
      </c>
      <c r="H10" s="27" t="n"/>
      <c r="I10" s="37">
        <f>IFERROR(H10/F10,"")</f>
        <v/>
      </c>
      <c r="J10" s="180" t="n"/>
      <c r="K10" s="47">
        <f>H10-F10</f>
        <v/>
      </c>
      <c r="M10" s="37">
        <f>'RESUMO '!$K$8</f>
        <v/>
      </c>
      <c r="N10" s="24">
        <f>M10*'UC GERADORA'!O10</f>
        <v/>
      </c>
      <c r="O10" s="25">
        <f>H10</f>
        <v/>
      </c>
      <c r="P10" s="25">
        <f>IF(P9&lt;=0,(N10-O10),P9+(N10-O10))</f>
        <v/>
      </c>
      <c r="Q10" s="28" t="n"/>
      <c r="S10" s="140" t="n"/>
      <c r="T10" s="140" t="n"/>
      <c r="U10" s="140" t="n"/>
    </row>
    <row r="11">
      <c r="A11" s="122" t="inlineStr">
        <is>
          <t>Jul</t>
        </is>
      </c>
      <c r="B11" s="55" t="n"/>
      <c r="C11" s="74" t="n"/>
      <c r="E11" s="181" t="n"/>
      <c r="F11" s="27" t="n"/>
      <c r="G11" s="44">
        <f>IFERROR(F11/$E$5,"")</f>
        <v/>
      </c>
      <c r="H11" s="27" t="n"/>
      <c r="I11" s="37">
        <f>IFERROR(H11/F11,"")</f>
        <v/>
      </c>
      <c r="J11" s="180" t="n"/>
      <c r="K11" s="47">
        <f>H11-F11</f>
        <v/>
      </c>
      <c r="M11" s="37">
        <f>'RESUMO '!$K$8</f>
        <v/>
      </c>
      <c r="N11" s="24">
        <f>M11*'UC GERADORA'!O11</f>
        <v/>
      </c>
      <c r="O11" s="25">
        <f>H11</f>
        <v/>
      </c>
      <c r="P11" s="25">
        <f>IF(P10&lt;=0,(N11-O11),P10+(N11-O11))</f>
        <v/>
      </c>
      <c r="Q11" s="28" t="n"/>
      <c r="S11" s="140" t="n"/>
      <c r="T11" s="140" t="n"/>
      <c r="U11" s="140" t="n"/>
    </row>
    <row r="12">
      <c r="A12" s="122" t="inlineStr">
        <is>
          <t>Ago</t>
        </is>
      </c>
      <c r="B12" s="55" t="n"/>
      <c r="C12" s="74" t="n"/>
      <c r="E12" s="181" t="n"/>
      <c r="F12" s="27" t="n"/>
      <c r="G12" s="44">
        <f>IFERROR(F12/$E$5,"")</f>
        <v/>
      </c>
      <c r="H12" s="27" t="n"/>
      <c r="I12" s="37">
        <f>IFERROR(H12/F12,"")</f>
        <v/>
      </c>
      <c r="J12" s="180" t="n"/>
      <c r="K12" s="47">
        <f>H12-F12</f>
        <v/>
      </c>
      <c r="M12" s="37">
        <f>'RESUMO '!$K$8</f>
        <v/>
      </c>
      <c r="N12" s="24">
        <f>M12*'UC GERADORA'!O12</f>
        <v/>
      </c>
      <c r="O12" s="25">
        <f>H12</f>
        <v/>
      </c>
      <c r="P12" s="25">
        <f>IF(P11&lt;=0,(N12-O12),P11+(N12-O12))</f>
        <v/>
      </c>
      <c r="Q12" s="28" t="n"/>
      <c r="S12" s="140" t="n"/>
      <c r="T12" s="140" t="n"/>
      <c r="U12" s="140" t="n"/>
    </row>
    <row r="13">
      <c r="A13" s="122" t="inlineStr">
        <is>
          <t>Set</t>
        </is>
      </c>
      <c r="B13" s="55" t="n"/>
      <c r="C13" s="74" t="n"/>
      <c r="E13" s="181" t="n"/>
      <c r="F13" s="27" t="n"/>
      <c r="G13" s="44">
        <f>IFERROR(F13/$E$5,"")</f>
        <v/>
      </c>
      <c r="H13" s="27" t="n"/>
      <c r="I13" s="37">
        <f>IFERROR(H13/F13,"")</f>
        <v/>
      </c>
      <c r="J13" s="180" t="n"/>
      <c r="K13" s="47">
        <f>H13-F13</f>
        <v/>
      </c>
      <c r="M13" s="37">
        <f>'RESUMO '!$K$8</f>
        <v/>
      </c>
      <c r="N13" s="24">
        <f>M13*'UC GERADORA'!O13</f>
        <v/>
      </c>
      <c r="O13" s="25">
        <f>H13</f>
        <v/>
      </c>
      <c r="P13" s="25">
        <f>IF(P12&lt;=0,(N13-O13),P12+(N13-O13))</f>
        <v/>
      </c>
      <c r="Q13" s="28" t="n"/>
      <c r="S13" s="140" t="n"/>
      <c r="T13" s="140" t="n"/>
      <c r="U13" s="140" t="n"/>
    </row>
    <row r="14">
      <c r="A14" s="122" t="inlineStr">
        <is>
          <t>Out</t>
        </is>
      </c>
      <c r="B14" s="55" t="n"/>
      <c r="C14" s="74" t="n"/>
      <c r="E14" s="181" t="n"/>
      <c r="F14" s="27" t="n"/>
      <c r="G14" s="44">
        <f>IFERROR(F14/$E$5,"")</f>
        <v/>
      </c>
      <c r="H14" s="27" t="n"/>
      <c r="I14" s="37">
        <f>IFERROR(H14/F14,"")</f>
        <v/>
      </c>
      <c r="J14" s="180" t="n"/>
      <c r="K14" s="47">
        <f>H14-F14</f>
        <v/>
      </c>
      <c r="M14" s="37">
        <f>'RESUMO '!$K$8</f>
        <v/>
      </c>
      <c r="N14" s="24">
        <f>M14*'UC GERADORA'!O14</f>
        <v/>
      </c>
      <c r="O14" s="25">
        <f>H14</f>
        <v/>
      </c>
      <c r="P14" s="25">
        <f>IF(P13&lt;=0,(N14-O14),P13+(N14-O14))</f>
        <v/>
      </c>
      <c r="Q14" s="28" t="n"/>
      <c r="S14" s="140" t="n"/>
      <c r="T14" s="140" t="n"/>
      <c r="U14" s="140" t="n"/>
    </row>
    <row r="15">
      <c r="A15" s="122" t="inlineStr">
        <is>
          <t>Nov</t>
        </is>
      </c>
      <c r="B15" s="55" t="n"/>
      <c r="C15" s="74" t="n"/>
      <c r="E15" s="181" t="n"/>
      <c r="F15" s="27" t="n"/>
      <c r="G15" s="44">
        <f>IFERROR(F15/$E$5,"")</f>
        <v/>
      </c>
      <c r="H15" s="27" t="n"/>
      <c r="I15" s="37">
        <f>IFERROR(H15/F15,"")</f>
        <v/>
      </c>
      <c r="J15" s="180" t="n"/>
      <c r="K15" s="47">
        <f>H15-F15</f>
        <v/>
      </c>
      <c r="M15" s="37">
        <f>'RESUMO '!$K$8</f>
        <v/>
      </c>
      <c r="N15" s="24">
        <f>M15*'UC GERADORA'!O15</f>
        <v/>
      </c>
      <c r="O15" s="25">
        <f>H15</f>
        <v/>
      </c>
      <c r="P15" s="25">
        <f>IF(P14&lt;=0,(N15-O15),P14+(N15-O15))</f>
        <v/>
      </c>
      <c r="Q15" s="28" t="n"/>
      <c r="S15" s="140" t="n"/>
      <c r="T15" s="140" t="n"/>
      <c r="U15" s="140" t="n"/>
    </row>
    <row r="16">
      <c r="A16" s="122" t="inlineStr">
        <is>
          <t>Dez</t>
        </is>
      </c>
      <c r="B16" s="55" t="n"/>
      <c r="C16" s="74" t="n"/>
      <c r="E16" s="163" t="n"/>
      <c r="F16" s="27" t="n"/>
      <c r="G16" s="44">
        <f>IFERROR(F16/$E$5,"")</f>
        <v/>
      </c>
      <c r="H16" s="27" t="n"/>
      <c r="I16" s="37">
        <f>IFERROR(H16/F16,"")</f>
        <v/>
      </c>
      <c r="J16" s="180" t="n"/>
      <c r="K16" s="47">
        <f>H16-F16</f>
        <v/>
      </c>
      <c r="M16" s="37">
        <f>'RESUMO '!$K$8</f>
        <v/>
      </c>
      <c r="N16" s="24">
        <f>M16*'UC GERADORA'!O16</f>
        <v/>
      </c>
      <c r="O16" s="25">
        <f>H16</f>
        <v/>
      </c>
      <c r="P16" s="25">
        <f>IF(P15&lt;=0,(N16-O16),P15+(N16-O16))</f>
        <v/>
      </c>
      <c r="Q16" s="28" t="n"/>
      <c r="S16" s="140" t="n"/>
      <c r="T16" s="140" t="n"/>
      <c r="U16" s="140" t="n"/>
    </row>
    <row r="17">
      <c r="E17" s="39">
        <f>E5*12</f>
        <v/>
      </c>
      <c r="F17" s="23">
        <f>IFERROR(AVERAGE(F5:F16),"")</f>
        <v/>
      </c>
      <c r="G17" s="44">
        <f>IFERROR(F17/$E$5,"")</f>
        <v/>
      </c>
      <c r="H17" s="23">
        <f>SUM(H5:H16)</f>
        <v/>
      </c>
      <c r="I17" s="37">
        <f>IFERROR(H17/F17,"")</f>
        <v/>
      </c>
      <c r="J17" s="23">
        <f>SUM(J5:J16)</f>
        <v/>
      </c>
      <c r="K17" s="47">
        <f>SUM(K5:K16)</f>
        <v/>
      </c>
      <c r="M17" s="37">
        <f>AVERAGE(M5:M16)</f>
        <v/>
      </c>
      <c r="N17" s="23">
        <f>SUM(N5:N16)</f>
        <v/>
      </c>
      <c r="O17" s="23">
        <f>SUM(O5:O16)</f>
        <v/>
      </c>
      <c r="P17" s="23" t="n"/>
      <c r="Q17" s="35">
        <f>SUM(Q5:Q16)</f>
        <v/>
      </c>
    </row>
    <row r="18">
      <c r="A18" s="115" t="inlineStr">
        <is>
          <t>LEGENDA</t>
        </is>
      </c>
      <c r="B18" s="173" t="n"/>
      <c r="C18" s="158" t="n"/>
    </row>
    <row r="19">
      <c r="A19" s="2" t="inlineStr">
        <is>
          <t>AMARELO</t>
        </is>
      </c>
      <c r="B19" s="21" t="inlineStr">
        <is>
          <t>PREENCHER</t>
        </is>
      </c>
      <c r="C19" s="21" t="n"/>
    </row>
    <row r="20" ht="15" customHeight="1">
      <c r="A20" s="17" t="inlineStr">
        <is>
          <t>CINZA</t>
        </is>
      </c>
      <c r="B20" s="22" t="inlineStr">
        <is>
          <t>AUTOMÁTICO</t>
        </is>
      </c>
      <c r="C20" s="22" t="n"/>
    </row>
    <row r="21">
      <c r="A21" s="36" t="inlineStr">
        <is>
          <t>LARANJA</t>
        </is>
      </c>
      <c r="B21" s="182" t="inlineStr">
        <is>
          <t>COBRAR - AUTOMÁTICO</t>
        </is>
      </c>
      <c r="C21" s="158" t="n"/>
    </row>
    <row r="97">
      <c r="L97" s="1" t="n"/>
      <c r="M97" s="1" t="n"/>
      <c r="N97" s="1" t="n"/>
      <c r="O97" s="1" t="n"/>
      <c r="P97" s="1" t="n"/>
      <c r="Q97" s="1" t="n"/>
    </row>
  </sheetData>
  <mergeCells count="13">
    <mergeCell ref="E5:E16"/>
    <mergeCell ref="B21:C21"/>
    <mergeCell ref="A2:I2"/>
    <mergeCell ref="L3:L17"/>
    <mergeCell ref="A1:P1"/>
    <mergeCell ref="B3:C3"/>
    <mergeCell ref="A3:A4"/>
    <mergeCell ref="A18:C18"/>
    <mergeCell ref="J2:Q2"/>
    <mergeCell ref="S3:U3"/>
    <mergeCell ref="D3:D17"/>
    <mergeCell ref="M3:Q3"/>
    <mergeCell ref="E3:J3"/>
  </mergeCells>
  <pageMargins left="0.511811024" right="0.511811024" top="0.787401575" bottom="0.787401575" header="0.31496062" footer="0.31496062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Victor Fideles</dc:creator>
  <dcterms:created xsi:type="dcterms:W3CDTF">2019-02-14T16:03:49Z</dcterms:created>
  <dcterms:modified xsi:type="dcterms:W3CDTF">2026-01-19T15:48:15Z</dcterms:modified>
  <cp:lastModifiedBy>João Felipe Prado</cp:lastModifiedBy>
</cp:coreProperties>
</file>